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myProject\Carbon(카본)\설계\"/>
    </mc:Choice>
  </mc:AlternateContent>
  <xr:revisionPtr revIDLastSave="0" documentId="13_ncr:1_{0FB38086-0F36-4B6C-9649-19EE58C2DDB8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테이블 리스트" sheetId="1" r:id="rId1"/>
    <sheet name="회원" sheetId="2" r:id="rId2"/>
    <sheet name="회원로그인이력" sheetId="23" r:id="rId3"/>
    <sheet name="가맹점" sheetId="18" r:id="rId4"/>
    <sheet name="가맹점로그인이력" sheetId="24" r:id="rId5"/>
    <sheet name="디지털 QR 정보" sheetId="16" r:id="rId6"/>
    <sheet name="종이 QR 정보" sheetId="25" r:id="rId7"/>
    <sheet name="추후  QR 판매 정보" sheetId="26" r:id="rId8"/>
    <sheet name="QR 사용등록(매핑) 이력" sheetId="27" r:id="rId9"/>
    <sheet name="QR 사용이력" sheetId="17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27" l="1"/>
  <c r="J6" i="27"/>
  <c r="J7" i="27"/>
  <c r="J6" i="25"/>
  <c r="J7" i="25"/>
  <c r="J9" i="2"/>
  <c r="C3" i="27" l="1"/>
  <c r="J10" i="27" s="1"/>
  <c r="B3" i="27"/>
  <c r="J3" i="27" s="1"/>
  <c r="C3" i="26"/>
  <c r="J17" i="26" s="1"/>
  <c r="B3" i="26"/>
  <c r="J3" i="26" s="1"/>
  <c r="J8" i="27"/>
  <c r="J5" i="27"/>
  <c r="J4" i="27"/>
  <c r="J5" i="26"/>
  <c r="J16" i="26"/>
  <c r="J15" i="26"/>
  <c r="J14" i="26"/>
  <c r="J13" i="26"/>
  <c r="J12" i="26"/>
  <c r="J11" i="26"/>
  <c r="J10" i="26"/>
  <c r="J9" i="26"/>
  <c r="J8" i="26"/>
  <c r="J7" i="26"/>
  <c r="J6" i="26"/>
  <c r="J4" i="26"/>
  <c r="J13" i="25"/>
  <c r="J12" i="25"/>
  <c r="J11" i="25"/>
  <c r="J10" i="25"/>
  <c r="C3" i="25"/>
  <c r="J17" i="25" s="1"/>
  <c r="B3" i="25"/>
  <c r="J3" i="25" s="1"/>
  <c r="J16" i="25"/>
  <c r="J15" i="25"/>
  <c r="J14" i="25"/>
  <c r="J9" i="25"/>
  <c r="J8" i="25"/>
  <c r="J5" i="25"/>
  <c r="J4" i="25"/>
  <c r="J8" i="16"/>
  <c r="J9" i="16"/>
  <c r="C13" i="18"/>
  <c r="B13" i="18"/>
  <c r="J10" i="2"/>
  <c r="C3" i="24"/>
  <c r="J12" i="24" s="1"/>
  <c r="B3" i="24"/>
  <c r="J3" i="24" s="1"/>
  <c r="C3" i="23"/>
  <c r="J12" i="23" s="1"/>
  <c r="B3" i="23"/>
  <c r="J3" i="23" s="1"/>
  <c r="J11" i="24"/>
  <c r="J10" i="24"/>
  <c r="J9" i="24"/>
  <c r="J8" i="24"/>
  <c r="J7" i="24"/>
  <c r="J6" i="24"/>
  <c r="J5" i="24"/>
  <c r="J4" i="24"/>
  <c r="J11" i="23"/>
  <c r="J10" i="23"/>
  <c r="J9" i="23"/>
  <c r="J8" i="23"/>
  <c r="J7" i="23"/>
  <c r="J6" i="23"/>
  <c r="J5" i="23"/>
  <c r="J4" i="23"/>
  <c r="J19" i="18"/>
  <c r="J18" i="18"/>
  <c r="J20" i="18"/>
  <c r="J21" i="2"/>
  <c r="J20" i="2"/>
  <c r="J19" i="2"/>
  <c r="J18" i="2"/>
  <c r="J10" i="16"/>
  <c r="J16" i="18"/>
  <c r="J16" i="2"/>
  <c r="J5" i="17" l="1"/>
  <c r="J13" i="18" l="1"/>
  <c r="J6" i="18"/>
  <c r="J5" i="18"/>
  <c r="J13" i="2"/>
  <c r="C3" i="18"/>
  <c r="J21" i="18" s="1"/>
  <c r="B3" i="18"/>
  <c r="J3" i="18" s="1"/>
  <c r="C3" i="17"/>
  <c r="J11" i="17" s="1"/>
  <c r="B3" i="17"/>
  <c r="J3" i="17" s="1"/>
  <c r="J17" i="18"/>
  <c r="J15" i="18"/>
  <c r="J14" i="18"/>
  <c r="J12" i="18"/>
  <c r="J11" i="18"/>
  <c r="J10" i="18"/>
  <c r="J9" i="18"/>
  <c r="J8" i="18"/>
  <c r="J7" i="18"/>
  <c r="J4" i="18"/>
  <c r="J10" i="17"/>
  <c r="J9" i="17"/>
  <c r="J8" i="17"/>
  <c r="J7" i="17"/>
  <c r="J4" i="17"/>
  <c r="C3" i="16"/>
  <c r="J13" i="16" s="1"/>
  <c r="B3" i="16"/>
  <c r="J3" i="16" s="1"/>
  <c r="J12" i="16"/>
  <c r="J11" i="16"/>
  <c r="J6" i="16"/>
  <c r="J7" i="16"/>
  <c r="J5" i="16"/>
  <c r="J4" i="16"/>
  <c r="C3" i="2"/>
  <c r="B3" i="2"/>
  <c r="J17" i="2"/>
  <c r="J5" i="2" l="1"/>
  <c r="J15" i="2"/>
  <c r="J14" i="2"/>
  <c r="J12" i="2"/>
  <c r="J11" i="2"/>
  <c r="J8" i="2"/>
  <c r="J7" i="2"/>
  <c r="J6" i="2"/>
  <c r="J4" i="2"/>
  <c r="J3" i="2"/>
</calcChain>
</file>

<file path=xl/sharedStrings.xml><?xml version="1.0" encoding="utf-8"?>
<sst xmlns="http://schemas.openxmlformats.org/spreadsheetml/2006/main" count="369" uniqueCount="109">
  <si>
    <t>비밀번호</t>
  </si>
  <si>
    <t>항목명</t>
    <phoneticPr fontId="1" type="noConversion"/>
  </si>
  <si>
    <t>코멘트</t>
    <phoneticPr fontId="1" type="noConversion"/>
  </si>
  <si>
    <t>타입</t>
    <phoneticPr fontId="1" type="noConversion"/>
  </si>
  <si>
    <t>길이</t>
    <phoneticPr fontId="1" type="noConversion"/>
  </si>
  <si>
    <t>PK</t>
    <phoneticPr fontId="1" type="noConversion"/>
  </si>
  <si>
    <t>NULL</t>
    <phoneticPr fontId="1" type="noConversion"/>
  </si>
  <si>
    <t>MBR_ID</t>
  </si>
  <si>
    <t>Y</t>
  </si>
  <si>
    <t>MBR_PWD</t>
  </si>
  <si>
    <t>MBR_NM</t>
  </si>
  <si>
    <t>CRE_DTM</t>
  </si>
  <si>
    <t>생성일시</t>
  </si>
  <si>
    <t>CHG_DTM</t>
  </si>
  <si>
    <t>변경일시</t>
  </si>
  <si>
    <t>Y</t>
    <phoneticPr fontId="1" type="noConversion"/>
  </si>
  <si>
    <t>회원관리</t>
    <phoneticPr fontId="1" type="noConversion"/>
  </si>
  <si>
    <t>VARCHAR</t>
  </si>
  <si>
    <t>회원 로그인 이력</t>
    <phoneticPr fontId="1" type="noConversion"/>
  </si>
  <si>
    <t>로그인순번</t>
    <phoneticPr fontId="1" type="noConversion"/>
  </si>
  <si>
    <t>아이피</t>
    <phoneticPr fontId="1" type="noConversion"/>
  </si>
  <si>
    <t>로그인일시</t>
    <phoneticPr fontId="1" type="noConversion"/>
  </si>
  <si>
    <t>OS</t>
    <phoneticPr fontId="1" type="noConversion"/>
  </si>
  <si>
    <t>브라우져</t>
    <phoneticPr fontId="1" type="noConversion"/>
  </si>
  <si>
    <t>LGN_IP</t>
    <phoneticPr fontId="1" type="noConversion"/>
  </si>
  <si>
    <t>LGN_OS</t>
    <phoneticPr fontId="1" type="noConversion"/>
  </si>
  <si>
    <t>LGN_BROWSER</t>
    <phoneticPr fontId="1" type="noConversion"/>
  </si>
  <si>
    <t>LST_LGN_DTM</t>
    <phoneticPr fontId="1" type="noConversion"/>
  </si>
  <si>
    <t>CHG_PWD_DTM</t>
    <phoneticPr fontId="1" type="noConversion"/>
  </si>
  <si>
    <t>LGN_SEQ</t>
    <phoneticPr fontId="1" type="noConversion"/>
  </si>
  <si>
    <t>N</t>
    <phoneticPr fontId="1" type="noConversion"/>
  </si>
  <si>
    <t>회원아이디</t>
  </si>
  <si>
    <t>휴대폰번호</t>
  </si>
  <si>
    <t xml:space="preserve">디지털 QR코드 </t>
  </si>
  <si>
    <t>패스워드 변경일</t>
  </si>
  <si>
    <t>마지막 로그인 일시</t>
  </si>
  <si>
    <t>CRBN_MBR_INFO</t>
    <phoneticPr fontId="1" type="noConversion"/>
  </si>
  <si>
    <t>MBR_CELL_NUM</t>
    <phoneticPr fontId="1" type="noConversion"/>
  </si>
  <si>
    <t>유니크</t>
    <phoneticPr fontId="1" type="noConversion"/>
  </si>
  <si>
    <t>CRBN</t>
    <phoneticPr fontId="1" type="noConversion"/>
  </si>
  <si>
    <t>QR 사용이력</t>
  </si>
  <si>
    <t xml:space="preserve">이름 </t>
  </si>
  <si>
    <t xml:space="preserve">종이 QR코드 </t>
  </si>
  <si>
    <t>가맹점</t>
    <phoneticPr fontId="1" type="noConversion"/>
  </si>
  <si>
    <t>DGT_QR_CD</t>
    <phoneticPr fontId="1" type="noConversion"/>
  </si>
  <si>
    <t>PPR_QR_CD</t>
    <phoneticPr fontId="1" type="noConversion"/>
  </si>
  <si>
    <t>CRBN_QR_USE_HST</t>
    <phoneticPr fontId="1" type="noConversion"/>
  </si>
  <si>
    <t>CRBN_STORE_INFO</t>
    <phoneticPr fontId="1" type="noConversion"/>
  </si>
  <si>
    <t>디지털 QR코드 이미지</t>
  </si>
  <si>
    <t>순번</t>
  </si>
  <si>
    <t>USE_SEQ</t>
    <phoneticPr fontId="1" type="noConversion"/>
  </si>
  <si>
    <t>사용일시</t>
    <phoneticPr fontId="1" type="noConversion"/>
  </si>
  <si>
    <t>USE_DTM</t>
    <phoneticPr fontId="1" type="noConversion"/>
  </si>
  <si>
    <t>상호</t>
  </si>
  <si>
    <t>대표자 성명</t>
  </si>
  <si>
    <t>STORE_NO</t>
    <phoneticPr fontId="1" type="noConversion"/>
  </si>
  <si>
    <t>STORE_PWD</t>
    <phoneticPr fontId="1" type="noConversion"/>
  </si>
  <si>
    <t>STORE_CELL_NUM</t>
    <phoneticPr fontId="1" type="noConversion"/>
  </si>
  <si>
    <t>STORE_CEO_NM</t>
    <phoneticPr fontId="1" type="noConversion"/>
  </si>
  <si>
    <t>STORE_NM</t>
    <phoneticPr fontId="1" type="noConversion"/>
  </si>
  <si>
    <t>STORE_NO_IMG</t>
    <phoneticPr fontId="1" type="noConversion"/>
  </si>
  <si>
    <t>STORE_IMG</t>
    <phoneticPr fontId="1" type="noConversion"/>
  </si>
  <si>
    <t>사업자등록증 이미지 파일 경로</t>
    <phoneticPr fontId="1" type="noConversion"/>
  </si>
  <si>
    <t>사업장 사진 이미지 파일 경로</t>
    <phoneticPr fontId="1" type="noConversion"/>
  </si>
  <si>
    <t>STORE_ID</t>
    <phoneticPr fontId="1" type="noConversion"/>
  </si>
  <si>
    <t>사업자 등록번호</t>
    <phoneticPr fontId="1" type="noConversion"/>
  </si>
  <si>
    <t>소속코드</t>
    <phoneticPr fontId="1" type="noConversion"/>
  </si>
  <si>
    <t>CRBN_ADM_ID</t>
    <phoneticPr fontId="1" type="noConversion"/>
  </si>
  <si>
    <t>INT</t>
    <phoneticPr fontId="1" type="noConversion"/>
  </si>
  <si>
    <t>int</t>
    <phoneticPr fontId="1" type="noConversion"/>
  </si>
  <si>
    <t>DATETIME</t>
  </si>
  <si>
    <t>BLOB</t>
  </si>
  <si>
    <t>가맹점 로그인 이력</t>
    <phoneticPr fontId="1" type="noConversion"/>
  </si>
  <si>
    <t>CRBN_MBR_LGN_HST</t>
    <phoneticPr fontId="1" type="noConversion"/>
  </si>
  <si>
    <t>CRBN_STORE_LGN_HST</t>
    <phoneticPr fontId="1" type="noConversion"/>
  </si>
  <si>
    <t>CRBN_DGT_QR_INFO</t>
    <phoneticPr fontId="1" type="noConversion"/>
  </si>
  <si>
    <t>CRBN_PPR_QR_INFO</t>
    <phoneticPr fontId="1" type="noConversion"/>
  </si>
  <si>
    <t>디지털 QR 정보</t>
    <phoneticPr fontId="1" type="noConversion"/>
  </si>
  <si>
    <t>종이 QR 정보</t>
    <phoneticPr fontId="1" type="noConversion"/>
  </si>
  <si>
    <t>QR 판매 정보</t>
    <phoneticPr fontId="1" type="noConversion"/>
  </si>
  <si>
    <t>CRBN_QR_SALE_INFO</t>
    <phoneticPr fontId="1" type="noConversion"/>
  </si>
  <si>
    <t>CRBN_QR_USE_INFO</t>
    <phoneticPr fontId="1" type="noConversion"/>
  </si>
  <si>
    <t>가맹점아이디</t>
    <phoneticPr fontId="1" type="noConversion"/>
  </si>
  <si>
    <t>사용등록 등록 가맹점</t>
    <phoneticPr fontId="1" type="noConversion"/>
  </si>
  <si>
    <t>QR_USE_AVAIL_DTM</t>
    <phoneticPr fontId="1" type="noConversion"/>
  </si>
  <si>
    <t>출력일시</t>
    <phoneticPr fontId="1" type="noConversion"/>
  </si>
  <si>
    <t>출력처리 담당자</t>
    <phoneticPr fontId="1" type="noConversion"/>
  </si>
  <si>
    <t>QR_PRINT_YN</t>
    <phoneticPr fontId="1" type="noConversion"/>
  </si>
  <si>
    <t>QR_PRINT_DTM</t>
    <phoneticPr fontId="1" type="noConversion"/>
  </si>
  <si>
    <t>QR_PRINT_ID</t>
    <phoneticPr fontId="1" type="noConversion"/>
  </si>
  <si>
    <t>종이 QR 상태</t>
    <phoneticPr fontId="1" type="noConversion"/>
  </si>
  <si>
    <t>QR_STAT</t>
    <phoneticPr fontId="1" type="noConversion"/>
  </si>
  <si>
    <t>QR 상태</t>
    <phoneticPr fontId="1" type="noConversion"/>
  </si>
  <si>
    <t>사용등록 일시</t>
    <phoneticPr fontId="1" type="noConversion"/>
  </si>
  <si>
    <t>사용등록 담당자</t>
    <phoneticPr fontId="1" type="noConversion"/>
  </si>
  <si>
    <t>판매일시</t>
    <phoneticPr fontId="1" type="noConversion"/>
  </si>
  <si>
    <t>판매 담당자</t>
    <phoneticPr fontId="1" type="noConversion"/>
  </si>
  <si>
    <t>QR_SALE_DTM</t>
    <phoneticPr fontId="1" type="noConversion"/>
  </si>
  <si>
    <t>QR_SALE_ID</t>
    <phoneticPr fontId="1" type="noConversion"/>
  </si>
  <si>
    <t>사용등록  담당자</t>
    <phoneticPr fontId="1" type="noConversion"/>
  </si>
  <si>
    <t>QR_USE_DTM</t>
    <phoneticPr fontId="1" type="noConversion"/>
  </si>
  <si>
    <t>QR_USE_ID</t>
    <phoneticPr fontId="1" type="noConversion"/>
  </si>
  <si>
    <t>QR_CD</t>
    <phoneticPr fontId="1" type="noConversion"/>
  </si>
  <si>
    <t>QR코드</t>
    <phoneticPr fontId="1" type="noConversion"/>
  </si>
  <si>
    <t>PARTY_CD</t>
    <phoneticPr fontId="1" type="noConversion"/>
  </si>
  <si>
    <t>QR 상태: N 생성, P:출력, S:판매, U:사용등록(매핑)</t>
    <phoneticPr fontId="1" type="noConversion"/>
  </si>
  <si>
    <t>SEQ</t>
    <phoneticPr fontId="1" type="noConversion"/>
  </si>
  <si>
    <t>QR 사용등록(매핑) 이력</t>
    <phoneticPr fontId="1" type="noConversion"/>
  </si>
  <si>
    <t>BIS_NUM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</si>
</sst>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9" sqref="C9"/>
    </sheetView>
  </sheetViews>
  <sheetFormatPr defaultRowHeight="17.399999999999999" x14ac:dyDescent="0.4"/>
  <cols>
    <col min="2" max="2" width="20.09765625" bestFit="1" customWidth="1"/>
    <col min="3" max="3" width="23.59765625" bestFit="1" customWidth="1"/>
  </cols>
  <sheetData>
    <row r="1" spans="1:3" x14ac:dyDescent="0.4">
      <c r="B1" t="s">
        <v>39</v>
      </c>
    </row>
    <row r="2" spans="1:3" x14ac:dyDescent="0.4">
      <c r="A2">
        <v>1</v>
      </c>
      <c r="B2" s="3" t="s">
        <v>36</v>
      </c>
      <c r="C2" s="4" t="s">
        <v>16</v>
      </c>
    </row>
    <row r="3" spans="1:3" x14ac:dyDescent="0.4">
      <c r="A3">
        <v>2</v>
      </c>
      <c r="B3" s="3" t="s">
        <v>73</v>
      </c>
      <c r="C3" s="4" t="s">
        <v>18</v>
      </c>
    </row>
    <row r="4" spans="1:3" x14ac:dyDescent="0.4">
      <c r="A4">
        <v>3</v>
      </c>
      <c r="B4" s="3" t="s">
        <v>47</v>
      </c>
      <c r="C4" s="4" t="s">
        <v>43</v>
      </c>
    </row>
    <row r="5" spans="1:3" x14ac:dyDescent="0.4">
      <c r="A5">
        <v>4</v>
      </c>
      <c r="B5" s="3" t="s">
        <v>74</v>
      </c>
      <c r="C5" s="4" t="s">
        <v>72</v>
      </c>
    </row>
    <row r="6" spans="1:3" x14ac:dyDescent="0.4">
      <c r="A6">
        <v>5</v>
      </c>
      <c r="B6" s="3" t="s">
        <v>75</v>
      </c>
      <c r="C6" s="4" t="s">
        <v>77</v>
      </c>
    </row>
    <row r="7" spans="1:3" x14ac:dyDescent="0.4">
      <c r="A7">
        <v>6</v>
      </c>
      <c r="B7" s="3" t="s">
        <v>76</v>
      </c>
      <c r="C7" s="4" t="s">
        <v>78</v>
      </c>
    </row>
    <row r="8" spans="1:3" x14ac:dyDescent="0.4">
      <c r="A8">
        <v>7</v>
      </c>
      <c r="B8" s="3" t="s">
        <v>80</v>
      </c>
      <c r="C8" s="3" t="s">
        <v>79</v>
      </c>
    </row>
    <row r="9" spans="1:3" x14ac:dyDescent="0.4">
      <c r="A9">
        <v>8</v>
      </c>
      <c r="B9" s="3" t="s">
        <v>81</v>
      </c>
      <c r="C9" s="3" t="s">
        <v>107</v>
      </c>
    </row>
    <row r="10" spans="1:3" x14ac:dyDescent="0.4">
      <c r="A10">
        <v>9</v>
      </c>
      <c r="B10" s="3" t="s">
        <v>46</v>
      </c>
      <c r="C10" s="3" t="s">
        <v>40</v>
      </c>
    </row>
    <row r="11" spans="1:3" x14ac:dyDescent="0.4">
      <c r="B11" s="3"/>
      <c r="C11" s="3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21"/>
  <sheetViews>
    <sheetView topLeftCell="B1" workbookViewId="0">
      <selection activeCell="B5" sqref="A5:XFD5"/>
    </sheetView>
  </sheetViews>
  <sheetFormatPr defaultRowHeight="17.399999999999999" x14ac:dyDescent="0.4"/>
  <cols>
    <col min="2" max="2" width="15.8984375" bestFit="1" customWidth="1"/>
    <col min="3" max="3" width="43.8984375" bestFit="1" customWidth="1"/>
    <col min="4" max="4" width="9.296875" bestFit="1" customWidth="1"/>
    <col min="6" max="6" width="10.19921875" bestFit="1" customWidth="1"/>
    <col min="10" max="10" width="48.69921875" bestFit="1" customWidth="1"/>
  </cols>
  <sheetData>
    <row r="3" spans="2:10" x14ac:dyDescent="0.4">
      <c r="B3" s="1" t="str">
        <f>'테이블 리스트'!B2</f>
        <v>CRBN_MBR_INFO</v>
      </c>
      <c r="C3" s="7" t="str">
        <f>'테이블 리스트'!C2</f>
        <v>회원관리</v>
      </c>
      <c r="D3" s="8"/>
      <c r="E3" s="8"/>
      <c r="F3" s="8"/>
      <c r="G3" s="8"/>
      <c r="H3" s="9"/>
      <c r="J3" t="str">
        <f>"CREATE TABLE " &amp; B3</f>
        <v>CREATE TABLE CRBN_MBR_INFO</v>
      </c>
    </row>
    <row r="4" spans="2:10" x14ac:dyDescent="0.4">
      <c r="B4" s="1" t="s">
        <v>1</v>
      </c>
      <c r="C4" s="2" t="s">
        <v>2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38</v>
      </c>
      <c r="J4" t="str">
        <f>"("</f>
        <v>(</v>
      </c>
    </row>
    <row r="5" spans="2:10" x14ac:dyDescent="0.4">
      <c r="B5" s="1" t="s">
        <v>7</v>
      </c>
      <c r="C5" s="2" t="s">
        <v>31</v>
      </c>
      <c r="D5" s="1" t="s">
        <v>17</v>
      </c>
      <c r="E5" s="1">
        <v>20</v>
      </c>
      <c r="F5" s="1" t="s">
        <v>30</v>
      </c>
      <c r="G5" s="1" t="s">
        <v>8</v>
      </c>
      <c r="H5" s="1" t="s">
        <v>15</v>
      </c>
      <c r="J5" t="str">
        <f>"    "&amp;B5&amp;" "&amp;D5&amp;" " &amp; IF(E5&lt;&gt;"","("&amp;E5&amp;") "," ") &amp; IF(F5="N","NOT NULL ","") &amp;" COMMENT "&amp;" '"&amp;C5&amp;"'"</f>
        <v xml:space="preserve">    MBR_ID VARCHAR (20) NOT NULL  COMMENT  '회원아이디'</v>
      </c>
    </row>
    <row r="6" spans="2:10" x14ac:dyDescent="0.4">
      <c r="B6" s="1" t="s">
        <v>9</v>
      </c>
      <c r="C6" s="1" t="s">
        <v>0</v>
      </c>
      <c r="D6" s="1" t="s">
        <v>17</v>
      </c>
      <c r="E6" s="1">
        <v>100</v>
      </c>
      <c r="F6" s="1" t="s">
        <v>30</v>
      </c>
      <c r="G6" s="1"/>
      <c r="H6" s="1"/>
      <c r="J6" t="str">
        <f t="shared" ref="J6:J17" si="0">"    ,"&amp;B6&amp;" "&amp;D6&amp;" " &amp; IF(E6&lt;&gt;"","("&amp;E6&amp;") "," ") &amp; IF(F6="N","NOT NULL ","") &amp;" COMMENT "&amp;" '"&amp;C6&amp;"'"</f>
        <v xml:space="preserve">    ,MBR_PWD VARCHAR (100) NOT NULL  COMMENT  '비밀번호'</v>
      </c>
    </row>
    <row r="7" spans="2:10" x14ac:dyDescent="0.4">
      <c r="B7" s="1" t="s">
        <v>37</v>
      </c>
      <c r="C7" s="1" t="s">
        <v>32</v>
      </c>
      <c r="D7" s="1" t="s">
        <v>17</v>
      </c>
      <c r="E7" s="1">
        <v>11</v>
      </c>
      <c r="F7" s="1" t="s">
        <v>30</v>
      </c>
      <c r="G7" s="1"/>
      <c r="H7" s="1" t="s">
        <v>15</v>
      </c>
      <c r="J7" t="str">
        <f t="shared" si="0"/>
        <v xml:space="preserve">    ,MBR_CELL_NUM VARCHAR (11) NOT NULL  COMMENT  '휴대폰번호'</v>
      </c>
    </row>
    <row r="8" spans="2:10" x14ac:dyDescent="0.4">
      <c r="B8" s="1" t="s">
        <v>10</v>
      </c>
      <c r="C8" s="1" t="s">
        <v>41</v>
      </c>
      <c r="D8" s="1" t="s">
        <v>17</v>
      </c>
      <c r="E8" s="1">
        <v>80</v>
      </c>
      <c r="F8" s="1" t="s">
        <v>30</v>
      </c>
      <c r="G8" s="1"/>
      <c r="H8" s="1"/>
      <c r="J8" t="str">
        <f t="shared" si="0"/>
        <v xml:space="preserve">    ,MBR_NM VARCHAR (80) NOT NULL  COMMENT  '이름 '</v>
      </c>
    </row>
    <row r="9" spans="2:10" x14ac:dyDescent="0.4">
      <c r="B9" t="s">
        <v>104</v>
      </c>
      <c r="C9" s="2" t="s">
        <v>66</v>
      </c>
      <c r="D9" s="1" t="s">
        <v>17</v>
      </c>
      <c r="E9" s="1">
        <v>20</v>
      </c>
      <c r="F9" s="1" t="s">
        <v>30</v>
      </c>
      <c r="G9" s="1"/>
      <c r="H9" s="1"/>
      <c r="J9" t="str">
        <f t="shared" si="0"/>
        <v xml:space="preserve">    ,PARTY_CD VARCHAR (20) NOT NULL  COMMENT  '소속코드'</v>
      </c>
    </row>
    <row r="10" spans="2:10" x14ac:dyDescent="0.4">
      <c r="B10" s="1" t="s">
        <v>91</v>
      </c>
      <c r="C10" s="1" t="s">
        <v>105</v>
      </c>
      <c r="D10" s="1" t="s">
        <v>17</v>
      </c>
      <c r="E10" s="1">
        <v>1</v>
      </c>
      <c r="F10" s="1" t="s">
        <v>30</v>
      </c>
      <c r="G10" s="1"/>
      <c r="H10" s="1"/>
      <c r="J10" t="str">
        <f>"    ,"&amp;B10&amp;" "&amp;D10&amp;" " &amp; IF(E10&lt;&gt;"","("&amp;E10&amp;") "," ") &amp; IF(F10="N","NOT NULL DEFAULT 'N' ","") &amp;" COMMENT "&amp;" '"&amp;C10&amp;"'"</f>
        <v xml:space="preserve">    ,QR_STAT VARCHAR (1) NOT NULL DEFAULT 'N'  COMMENT  'QR 상태: N 생성, P:출력, S:판매, U:사용등록(매핑)'</v>
      </c>
    </row>
    <row r="11" spans="2:10" x14ac:dyDescent="0.4">
      <c r="B11" s="1" t="s">
        <v>44</v>
      </c>
      <c r="C11" s="1" t="s">
        <v>33</v>
      </c>
      <c r="D11" s="1" t="s">
        <v>17</v>
      </c>
      <c r="E11" s="1">
        <v>12</v>
      </c>
      <c r="F11" s="1" t="s">
        <v>30</v>
      </c>
      <c r="G11" s="1"/>
      <c r="H11" s="1" t="s">
        <v>15</v>
      </c>
      <c r="J11" t="str">
        <f t="shared" si="0"/>
        <v xml:space="preserve">    ,DGT_QR_CD VARCHAR (12) NOT NULL  COMMENT  '디지털 QR코드 '</v>
      </c>
    </row>
    <row r="12" spans="2:10" x14ac:dyDescent="0.4">
      <c r="B12" s="1" t="s">
        <v>45</v>
      </c>
      <c r="C12" s="1" t="s">
        <v>42</v>
      </c>
      <c r="D12" s="1" t="s">
        <v>17</v>
      </c>
      <c r="E12" s="1">
        <v>12</v>
      </c>
      <c r="F12" s="1"/>
      <c r="G12" s="1"/>
      <c r="H12" s="1" t="s">
        <v>15</v>
      </c>
      <c r="J12" t="str">
        <f t="shared" si="0"/>
        <v xml:space="preserve">    ,PPR_QR_CD VARCHAR (12)  COMMENT  '종이 QR코드 '</v>
      </c>
    </row>
    <row r="13" spans="2:10" x14ac:dyDescent="0.4">
      <c r="B13" s="1" t="s">
        <v>55</v>
      </c>
      <c r="C13" s="2" t="s">
        <v>83</v>
      </c>
      <c r="D13" s="1" t="s">
        <v>17</v>
      </c>
      <c r="E13" s="1">
        <v>13</v>
      </c>
      <c r="F13" s="1"/>
      <c r="G13" s="1"/>
      <c r="H13" s="1"/>
      <c r="J13" t="str">
        <f t="shared" ref="J13" si="1">"    ,"&amp;B13&amp;" "&amp;D13&amp;" " &amp; IF(E13&lt;&gt;"","("&amp;E13&amp;") "," ") &amp; IF(F13="N","NOT NULL ","") &amp;" COMMENT "&amp;" '"&amp;C13&amp;"'"</f>
        <v xml:space="preserve">    ,STORE_NO VARCHAR (13)  COMMENT  '사용등록 등록 가맹점'</v>
      </c>
    </row>
    <row r="14" spans="2:10" x14ac:dyDescent="0.4">
      <c r="B14" s="1" t="s">
        <v>28</v>
      </c>
      <c r="C14" s="1" t="s">
        <v>34</v>
      </c>
      <c r="D14" s="1" t="s">
        <v>17</v>
      </c>
      <c r="E14" s="1">
        <v>14</v>
      </c>
      <c r="F14" s="1"/>
      <c r="G14" s="1"/>
      <c r="H14" s="1"/>
      <c r="J14" t="str">
        <f t="shared" si="0"/>
        <v xml:space="preserve">    ,CHG_PWD_DTM VARCHAR (14)  COMMENT  '패스워드 변경일'</v>
      </c>
    </row>
    <row r="15" spans="2:10" x14ac:dyDescent="0.4">
      <c r="B15" s="1" t="s">
        <v>27</v>
      </c>
      <c r="C15" s="1" t="s">
        <v>35</v>
      </c>
      <c r="D15" s="1" t="s">
        <v>17</v>
      </c>
      <c r="E15" s="1">
        <v>14</v>
      </c>
      <c r="F15" s="1"/>
      <c r="G15" s="1"/>
      <c r="H15" s="1"/>
      <c r="J15" t="str">
        <f t="shared" si="0"/>
        <v xml:space="preserve">    ,LST_LGN_DTM VARCHAR (14)  COMMENT  '마지막 로그인 일시'</v>
      </c>
    </row>
    <row r="16" spans="2:10" x14ac:dyDescent="0.4">
      <c r="B16" s="1" t="s">
        <v>11</v>
      </c>
      <c r="C16" s="1" t="s">
        <v>12</v>
      </c>
      <c r="D16" s="5" t="s">
        <v>70</v>
      </c>
      <c r="E16" s="5"/>
      <c r="F16" s="1" t="s">
        <v>30</v>
      </c>
      <c r="G16" s="1"/>
      <c r="H16" s="1"/>
      <c r="J16" t="str">
        <f>"    ,"&amp;B16&amp;" "&amp;D16&amp;" " &amp; IF(E16&lt;&gt;"","("&amp;E16&amp;") "," ") &amp; IF(F16="N","NOT NULL DEFAULT CURRENT_TIMESTAMP ","") &amp;" COMMENT "&amp;" '"&amp;C16&amp;"'"</f>
        <v xml:space="preserve">    ,CRE_DTM DATETIME  NOT NULL DEFAULT CURRENT_TIMESTAMP  COMMENT  '생성일시'</v>
      </c>
    </row>
    <row r="17" spans="2:10" x14ac:dyDescent="0.4">
      <c r="B17" s="1" t="s">
        <v>13</v>
      </c>
      <c r="C17" s="1" t="s">
        <v>14</v>
      </c>
      <c r="D17" s="5" t="s">
        <v>70</v>
      </c>
      <c r="E17" s="5"/>
      <c r="F17" s="1"/>
      <c r="G17" s="1"/>
      <c r="H17" s="1"/>
      <c r="J17" t="str">
        <f t="shared" si="0"/>
        <v xml:space="preserve">    ,CHG_DTM DATETIME   COMMENT  '변경일시'</v>
      </c>
    </row>
    <row r="18" spans="2:10" x14ac:dyDescent="0.4">
      <c r="J18" t="str">
        <f xml:space="preserve"> ", PRIMARY KEY (`"&amp;B5&amp;"`)"</f>
        <v>, PRIMARY KEY (`MBR_ID`)</v>
      </c>
    </row>
    <row r="19" spans="2:10" x14ac:dyDescent="0.4">
      <c r="J19" t="str">
        <f xml:space="preserve"> ", UNIQUE KEY CELLNUM (`"&amp;B7&amp;"`) "</f>
        <v xml:space="preserve">, UNIQUE KEY CELLNUM (`MBR_CELL_NUM`) </v>
      </c>
    </row>
    <row r="20" spans="2:10" x14ac:dyDescent="0.4">
      <c r="J20" t="str">
        <f xml:space="preserve"> ", UNIQUE KEY QR_CD_MAPP (`"&amp;B11&amp;"`, `"&amp;B12&amp;"`) "</f>
        <v xml:space="preserve">, UNIQUE KEY QR_CD_MAPP (`DGT_QR_CD`, `PPR_QR_CD`) </v>
      </c>
    </row>
    <row r="21" spans="2:10" x14ac:dyDescent="0.4">
      <c r="J21" t="str">
        <f xml:space="preserve"> ") COMMENT = '" &amp;C5&amp; "';  "</f>
        <v xml:space="preserve">) COMMENT = '회원아이디';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C9F4-9226-445A-97EB-3929EDFF1D1D}">
  <dimension ref="B3:J17"/>
  <sheetViews>
    <sheetView workbookViewId="0">
      <selection activeCell="B6" sqref="B6:E6"/>
    </sheetView>
  </sheetViews>
  <sheetFormatPr defaultRowHeight="17.399999999999999" x14ac:dyDescent="0.4"/>
  <cols>
    <col min="2" max="2" width="20.3984375" bestFit="1" customWidth="1"/>
    <col min="3" max="3" width="15.69921875" bestFit="1" customWidth="1"/>
    <col min="4" max="4" width="9.296875" bestFit="1" customWidth="1"/>
    <col min="10" max="10" width="77.3984375" customWidth="1"/>
  </cols>
  <sheetData>
    <row r="3" spans="2:10" x14ac:dyDescent="0.4">
      <c r="B3" s="1" t="str">
        <f>'테이블 리스트'!B3</f>
        <v>CRBN_MBR_LGN_HST</v>
      </c>
      <c r="C3" s="7" t="str">
        <f>'테이블 리스트'!C3</f>
        <v>회원 로그인 이력</v>
      </c>
      <c r="D3" s="8"/>
      <c r="E3" s="8"/>
      <c r="F3" s="8"/>
      <c r="G3" s="9"/>
      <c r="J3" t="str">
        <f>"CREATE TABLE " &amp; B3</f>
        <v>CREATE TABLE CRBN_MBR_LGN_HST</v>
      </c>
    </row>
    <row r="4" spans="2:10" x14ac:dyDescent="0.4">
      <c r="B4" s="1" t="s">
        <v>1</v>
      </c>
      <c r="C4" s="2" t="s">
        <v>2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38</v>
      </c>
      <c r="J4" t="str">
        <f>"("</f>
        <v>(</v>
      </c>
    </row>
    <row r="5" spans="2:10" x14ac:dyDescent="0.4">
      <c r="B5" s="1" t="s">
        <v>29</v>
      </c>
      <c r="C5" s="1" t="s">
        <v>19</v>
      </c>
      <c r="D5" s="1" t="s">
        <v>68</v>
      </c>
      <c r="E5" s="1"/>
      <c r="F5" s="1" t="s">
        <v>30</v>
      </c>
      <c r="G5" s="1" t="s">
        <v>15</v>
      </c>
      <c r="H5" s="1" t="s">
        <v>15</v>
      </c>
      <c r="J5" t="str">
        <f>"     " &amp;B5 &amp; " " &amp; D5 &amp; IF(E5&lt;&gt;"","("&amp;E5&amp;") "," ") &amp; IF(F5="N","NOT NULL ","")&amp;" primary key auto_increment  COMMENT " &amp; " '" &amp; C5 &amp; "'"</f>
        <v xml:space="preserve">     LGN_SEQ INT NOT NULL  primary key auto_increment  COMMENT  '로그인순번'</v>
      </c>
    </row>
    <row r="6" spans="2:10" x14ac:dyDescent="0.4">
      <c r="B6" s="1" t="s">
        <v>7</v>
      </c>
      <c r="C6" s="2" t="s">
        <v>31</v>
      </c>
      <c r="D6" s="1" t="s">
        <v>17</v>
      </c>
      <c r="E6" s="1">
        <v>20</v>
      </c>
      <c r="F6" s="1" t="s">
        <v>30</v>
      </c>
      <c r="G6" s="1"/>
      <c r="H6" s="1"/>
      <c r="J6" t="str">
        <f>"    ,"&amp;B6&amp;" "&amp;D6&amp;" " &amp; IF(E6&lt;&gt;"","("&amp;E6&amp;") "," ") &amp; IF(F6="N","NOT NULL ","") &amp;" COMMENT "&amp;" '"&amp;C6&amp;"'"</f>
        <v xml:space="preserve">    ,MBR_ID VARCHAR (20) NOT NULL  COMMENT  '회원아이디'</v>
      </c>
    </row>
    <row r="7" spans="2:10" x14ac:dyDescent="0.4">
      <c r="B7" s="1" t="s">
        <v>24</v>
      </c>
      <c r="C7" s="1" t="s">
        <v>20</v>
      </c>
      <c r="D7" s="1" t="s">
        <v>17</v>
      </c>
      <c r="E7" s="1">
        <v>20</v>
      </c>
      <c r="F7" s="1" t="s">
        <v>30</v>
      </c>
      <c r="G7" s="1"/>
      <c r="H7" s="1"/>
      <c r="J7" t="str">
        <f>"    ,"&amp;B7&amp;" "&amp;D7&amp;" " &amp; IF(E7&lt;&gt;"","("&amp;E7&amp;") "," ") &amp; IF(F7="N","NOT NULL ","") &amp;" COMMENT "&amp;" '"&amp;C7&amp;"'"</f>
        <v xml:space="preserve">    ,LGN_IP VARCHAR (20) NOT NULL  COMMENT  '아이피'</v>
      </c>
    </row>
    <row r="8" spans="2:10" x14ac:dyDescent="0.4">
      <c r="B8" s="1" t="s">
        <v>25</v>
      </c>
      <c r="C8" s="1" t="s">
        <v>22</v>
      </c>
      <c r="D8" s="1" t="s">
        <v>17</v>
      </c>
      <c r="E8" s="1">
        <v>20</v>
      </c>
      <c r="F8" s="1"/>
      <c r="G8" s="1"/>
      <c r="H8" s="1"/>
      <c r="J8" t="str">
        <f>"    ,"&amp;B8&amp;" "&amp;D8&amp;" " &amp; IF(E8&lt;&gt;"","("&amp;E8&amp;") "," ") &amp; IF(F8="N","NOT NULL ","") &amp;" COMMENT "&amp;" '"&amp;C8&amp;"'"</f>
        <v xml:space="preserve">    ,LGN_OS VARCHAR (20)  COMMENT  'OS'</v>
      </c>
    </row>
    <row r="9" spans="2:10" x14ac:dyDescent="0.4">
      <c r="B9" s="1" t="s">
        <v>26</v>
      </c>
      <c r="C9" s="1" t="s">
        <v>23</v>
      </c>
      <c r="D9" s="1" t="s">
        <v>17</v>
      </c>
      <c r="E9" s="1">
        <v>30</v>
      </c>
      <c r="F9" s="1"/>
      <c r="G9" s="1"/>
      <c r="H9" s="1"/>
      <c r="J9" t="str">
        <f>"    ,"&amp;B9&amp;" "&amp;D9&amp;" " &amp; IF(E9&lt;&gt;"","("&amp;E9&amp;") "," ") &amp; IF(F9="N","NOT NULL ","") &amp;" COMMENT "&amp;" '"&amp;C9&amp;"'"</f>
        <v xml:space="preserve">    ,LGN_BROWSER VARCHAR (30)  COMMENT  '브라우져'</v>
      </c>
    </row>
    <row r="10" spans="2:10" x14ac:dyDescent="0.4">
      <c r="B10" s="1" t="s">
        <v>11</v>
      </c>
      <c r="C10" s="1" t="s">
        <v>21</v>
      </c>
      <c r="D10" s="5" t="s">
        <v>70</v>
      </c>
      <c r="E10" s="5"/>
      <c r="F10" s="1" t="s">
        <v>30</v>
      </c>
      <c r="G10" s="1"/>
      <c r="H10" s="1"/>
      <c r="J10" t="str">
        <f>"    ,"&amp;B10&amp;" "&amp;D10&amp;" " &amp; IF(E10&lt;&gt;"","("&amp;E10&amp;") "," ") &amp; IF(F10="N","NOT NULL DEFAULT CURRENT_TIMESTAMP ","") &amp;" COMMENT "&amp;" '"&amp;C10&amp;"'"</f>
        <v xml:space="preserve">    ,CRE_DTM DATETIME  NOT NULL DEFAULT CURRENT_TIMESTAMP  COMMENT  '로그인일시'</v>
      </c>
    </row>
    <row r="11" spans="2:10" x14ac:dyDescent="0.4">
      <c r="H11" s="1"/>
      <c r="J11" t="str">
        <f xml:space="preserve"> ") "</f>
        <v xml:space="preserve">) </v>
      </c>
    </row>
    <row r="12" spans="2:10" x14ac:dyDescent="0.4">
      <c r="H12" s="1"/>
      <c r="J12" t="str">
        <f xml:space="preserve"> "COMMENT = '" &amp;C3&amp; "';  "</f>
        <v xml:space="preserve">COMMENT = '회원 로그인 이력';  </v>
      </c>
    </row>
    <row r="13" spans="2:10" x14ac:dyDescent="0.4">
      <c r="H13" s="1"/>
    </row>
    <row r="14" spans="2:10" x14ac:dyDescent="0.4">
      <c r="H14" s="1"/>
    </row>
    <row r="15" spans="2:10" x14ac:dyDescent="0.4">
      <c r="H15" s="1"/>
    </row>
    <row r="16" spans="2:10" x14ac:dyDescent="0.4">
      <c r="H16" s="1"/>
    </row>
    <row r="17" spans="8:8" x14ac:dyDescent="0.4">
      <c r="H17" s="1"/>
    </row>
  </sheetData>
  <mergeCells count="1">
    <mergeCell ref="C3:G3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6C0A-9880-4E69-BC76-16DE49D012C8}">
  <dimension ref="B3:J21"/>
  <sheetViews>
    <sheetView topLeftCell="B2" workbookViewId="0">
      <selection activeCell="B6" sqref="B6"/>
    </sheetView>
  </sheetViews>
  <sheetFormatPr defaultRowHeight="17.399999999999999" x14ac:dyDescent="0.4"/>
  <cols>
    <col min="2" max="2" width="15.8984375" bestFit="1" customWidth="1"/>
    <col min="3" max="3" width="28.09765625" bestFit="1" customWidth="1"/>
    <col min="4" max="4" width="9.296875" bestFit="1" customWidth="1"/>
    <col min="6" max="6" width="10.19921875" bestFit="1" customWidth="1"/>
    <col min="10" max="10" width="48.69921875" bestFit="1" customWidth="1"/>
  </cols>
  <sheetData>
    <row r="3" spans="2:10" x14ac:dyDescent="0.4">
      <c r="B3" s="1" t="str">
        <f>'테이블 리스트'!B4</f>
        <v>CRBN_STORE_INFO</v>
      </c>
      <c r="C3" s="7" t="str">
        <f>'테이블 리스트'!C4</f>
        <v>가맹점</v>
      </c>
      <c r="D3" s="8"/>
      <c r="E3" s="8"/>
      <c r="F3" s="8"/>
      <c r="G3" s="8"/>
      <c r="H3" s="9"/>
      <c r="J3" t="str">
        <f>"CREATE TABLE " &amp; B3</f>
        <v>CREATE TABLE CRBN_STORE_INFO</v>
      </c>
    </row>
    <row r="4" spans="2:10" x14ac:dyDescent="0.4">
      <c r="B4" s="1" t="s">
        <v>1</v>
      </c>
      <c r="C4" s="2" t="s">
        <v>2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38</v>
      </c>
      <c r="J4" t="str">
        <f>"("</f>
        <v>(</v>
      </c>
    </row>
    <row r="5" spans="2:10" x14ac:dyDescent="0.4">
      <c r="B5" s="1" t="s">
        <v>64</v>
      </c>
      <c r="C5" s="2" t="s">
        <v>82</v>
      </c>
      <c r="D5" s="1" t="s">
        <v>17</v>
      </c>
      <c r="E5" s="1">
        <v>20</v>
      </c>
      <c r="F5" s="1" t="s">
        <v>30</v>
      </c>
      <c r="G5" s="1" t="s">
        <v>8</v>
      </c>
      <c r="H5" s="1" t="s">
        <v>15</v>
      </c>
      <c r="J5" t="str">
        <f>"    "&amp;B5&amp;" "&amp;D5&amp;" " &amp; IF(E5&lt;&gt;"","("&amp;E5&amp;") "," ") &amp; IF(F5="N","NOT NULL ","") &amp;" COMMENT "&amp;" '"&amp;C5&amp;"'"</f>
        <v xml:space="preserve">    STORE_ID VARCHAR (20) NOT NULL  COMMENT  '가맹점아이디'</v>
      </c>
    </row>
    <row r="6" spans="2:10" x14ac:dyDescent="0.4">
      <c r="B6" s="1" t="s">
        <v>108</v>
      </c>
      <c r="C6" s="2" t="s">
        <v>65</v>
      </c>
      <c r="D6" s="1" t="s">
        <v>17</v>
      </c>
      <c r="E6" s="1">
        <v>10</v>
      </c>
      <c r="F6" s="1" t="s">
        <v>30</v>
      </c>
      <c r="G6" s="1"/>
      <c r="H6" s="1" t="s">
        <v>15</v>
      </c>
      <c r="J6" t="str">
        <f t="shared" ref="J6:J17" si="0">"    ,"&amp;B6&amp;" "&amp;D6&amp;" " &amp; IF(E6&lt;&gt;"","("&amp;E6&amp;") "," ") &amp; IF(F6="N","NOT NULL ","") &amp;" COMMENT "&amp;" '"&amp;C6&amp;"'"</f>
        <v xml:space="preserve">    ,BIS_NUM VARCHAR (10) NOT NULL  COMMENT  '사업자 등록번호'</v>
      </c>
    </row>
    <row r="7" spans="2:10" x14ac:dyDescent="0.4">
      <c r="B7" s="1" t="s">
        <v>56</v>
      </c>
      <c r="C7" s="1" t="s">
        <v>0</v>
      </c>
      <c r="D7" s="1" t="s">
        <v>17</v>
      </c>
      <c r="E7" s="1">
        <v>100</v>
      </c>
      <c r="F7" s="1" t="s">
        <v>30</v>
      </c>
      <c r="G7" s="1"/>
      <c r="H7" s="1"/>
      <c r="J7" t="str">
        <f t="shared" si="0"/>
        <v xml:space="preserve">    ,STORE_PWD VARCHAR (100) NOT NULL  COMMENT  '비밀번호'</v>
      </c>
    </row>
    <row r="8" spans="2:10" x14ac:dyDescent="0.4">
      <c r="B8" s="1" t="s">
        <v>57</v>
      </c>
      <c r="C8" s="1" t="s">
        <v>32</v>
      </c>
      <c r="D8" s="1" t="s">
        <v>17</v>
      </c>
      <c r="E8" s="1">
        <v>11</v>
      </c>
      <c r="F8" s="1" t="s">
        <v>30</v>
      </c>
      <c r="G8" s="1"/>
      <c r="H8" s="1" t="s">
        <v>15</v>
      </c>
      <c r="J8" t="str">
        <f t="shared" si="0"/>
        <v xml:space="preserve">    ,STORE_CELL_NUM VARCHAR (11) NOT NULL  COMMENT  '휴대폰번호'</v>
      </c>
    </row>
    <row r="9" spans="2:10" x14ac:dyDescent="0.4">
      <c r="B9" s="1" t="s">
        <v>58</v>
      </c>
      <c r="C9" s="1" t="s">
        <v>54</v>
      </c>
      <c r="D9" s="1" t="s">
        <v>17</v>
      </c>
      <c r="E9" s="1">
        <v>80</v>
      </c>
      <c r="F9" s="1" t="s">
        <v>30</v>
      </c>
      <c r="G9" s="1"/>
      <c r="H9" s="1"/>
      <c r="J9" t="str">
        <f t="shared" si="0"/>
        <v xml:space="preserve">    ,STORE_CEO_NM VARCHAR (80) NOT NULL  COMMENT  '대표자 성명'</v>
      </c>
    </row>
    <row r="10" spans="2:10" x14ac:dyDescent="0.4">
      <c r="B10" s="1" t="s">
        <v>59</v>
      </c>
      <c r="C10" s="1" t="s">
        <v>53</v>
      </c>
      <c r="D10" s="1" t="s">
        <v>17</v>
      </c>
      <c r="E10" s="1">
        <v>100</v>
      </c>
      <c r="F10" s="1" t="s">
        <v>30</v>
      </c>
      <c r="G10" s="1"/>
      <c r="H10" s="1"/>
      <c r="J10" t="str">
        <f t="shared" si="0"/>
        <v xml:space="preserve">    ,STORE_NM VARCHAR (100) NOT NULL  COMMENT  '상호'</v>
      </c>
    </row>
    <row r="11" spans="2:10" x14ac:dyDescent="0.4">
      <c r="B11" s="1" t="s">
        <v>60</v>
      </c>
      <c r="C11" s="1" t="s">
        <v>62</v>
      </c>
      <c r="D11" s="1" t="s">
        <v>17</v>
      </c>
      <c r="E11" s="1">
        <v>100</v>
      </c>
      <c r="F11" s="1"/>
      <c r="G11" s="1"/>
      <c r="H11" s="1"/>
      <c r="J11" t="str">
        <f t="shared" si="0"/>
        <v xml:space="preserve">    ,STORE_NO_IMG VARCHAR (100)  COMMENT  '사업자등록증 이미지 파일 경로'</v>
      </c>
    </row>
    <row r="12" spans="2:10" x14ac:dyDescent="0.4">
      <c r="B12" s="1" t="s">
        <v>61</v>
      </c>
      <c r="C12" s="1" t="s">
        <v>63</v>
      </c>
      <c r="D12" s="1" t="s">
        <v>17</v>
      </c>
      <c r="E12" s="1">
        <v>100</v>
      </c>
      <c r="F12" s="1"/>
      <c r="G12" s="1"/>
      <c r="H12" s="1"/>
      <c r="J12" t="str">
        <f t="shared" si="0"/>
        <v xml:space="preserve">    ,STORE_IMG VARCHAR (100)  COMMENT  '사업장 사진 이미지 파일 경로'</v>
      </c>
    </row>
    <row r="13" spans="2:10" x14ac:dyDescent="0.4">
      <c r="B13" s="1" t="e">
        <f>#REF!</f>
        <v>#REF!</v>
      </c>
      <c r="C13" s="1" t="e">
        <f>#REF!</f>
        <v>#REF!</v>
      </c>
      <c r="D13" s="1" t="s">
        <v>17</v>
      </c>
      <c r="E13" s="1">
        <v>20</v>
      </c>
      <c r="F13" s="1"/>
      <c r="G13" s="1"/>
      <c r="H13" s="1"/>
      <c r="J13" t="e">
        <f t="shared" si="0"/>
        <v>#REF!</v>
      </c>
    </row>
    <row r="14" spans="2:10" x14ac:dyDescent="0.4">
      <c r="B14" s="1" t="s">
        <v>28</v>
      </c>
      <c r="C14" s="1" t="s">
        <v>34</v>
      </c>
      <c r="D14" s="1" t="s">
        <v>17</v>
      </c>
      <c r="E14" s="1">
        <v>14</v>
      </c>
      <c r="F14" s="1"/>
      <c r="G14" s="1"/>
      <c r="H14" s="1"/>
      <c r="J14" t="str">
        <f t="shared" si="0"/>
        <v xml:space="preserve">    ,CHG_PWD_DTM VARCHAR (14)  COMMENT  '패스워드 변경일'</v>
      </c>
    </row>
    <row r="15" spans="2:10" x14ac:dyDescent="0.4">
      <c r="B15" s="1" t="s">
        <v>27</v>
      </c>
      <c r="C15" s="1" t="s">
        <v>35</v>
      </c>
      <c r="D15" s="1" t="s">
        <v>17</v>
      </c>
      <c r="E15" s="1">
        <v>14</v>
      </c>
      <c r="F15" s="1"/>
      <c r="G15" s="1"/>
      <c r="H15" s="1"/>
      <c r="J15" t="str">
        <f t="shared" si="0"/>
        <v xml:space="preserve">    ,LST_LGN_DTM VARCHAR (14)  COMMENT  '마지막 로그인 일시'</v>
      </c>
    </row>
    <row r="16" spans="2:10" x14ac:dyDescent="0.4">
      <c r="B16" s="1" t="s">
        <v>11</v>
      </c>
      <c r="C16" s="1" t="s">
        <v>12</v>
      </c>
      <c r="D16" s="5" t="s">
        <v>70</v>
      </c>
      <c r="E16" s="5"/>
      <c r="F16" s="1" t="s">
        <v>30</v>
      </c>
      <c r="G16" s="1"/>
      <c r="H16" s="1"/>
      <c r="J16" t="str">
        <f>"    ,"&amp;B16&amp;" "&amp;D16&amp;" " &amp; IF(E16&lt;&gt;"","("&amp;E16&amp;") "," ") &amp; IF(F16="N","NOT NULL DEFAULT CURRENT_TIMESTAMP ","") &amp;" COMMENT "&amp;" '"&amp;C16&amp;"'"</f>
        <v xml:space="preserve">    ,CRE_DTM DATETIME  NOT NULL DEFAULT CURRENT_TIMESTAMP  COMMENT  '생성일시'</v>
      </c>
    </row>
    <row r="17" spans="2:10" x14ac:dyDescent="0.4">
      <c r="B17" s="1" t="s">
        <v>13</v>
      </c>
      <c r="C17" s="1" t="s">
        <v>14</v>
      </c>
      <c r="D17" s="5" t="s">
        <v>70</v>
      </c>
      <c r="E17" s="5"/>
      <c r="F17" s="1"/>
      <c r="G17" s="1"/>
      <c r="H17" s="1"/>
      <c r="J17" t="str">
        <f t="shared" si="0"/>
        <v xml:space="preserve">    ,CHG_DTM DATETIME   COMMENT  '변경일시'</v>
      </c>
    </row>
    <row r="18" spans="2:10" x14ac:dyDescent="0.4">
      <c r="J18" t="str">
        <f xml:space="preserve"> ", PRIMARY KEY (`"&amp;B5&amp;"`) "</f>
        <v xml:space="preserve">, PRIMARY KEY (`STORE_ID`) </v>
      </c>
    </row>
    <row r="19" spans="2:10" x14ac:dyDescent="0.4">
      <c r="J19" t="str">
        <f xml:space="preserve"> ", UNIQUE KEY BISNUM (`"&amp;B6&amp;"`) "</f>
        <v xml:space="preserve">, UNIQUE KEY BISNUM (`BIS_NUM`) </v>
      </c>
    </row>
    <row r="20" spans="2:10" x14ac:dyDescent="0.4">
      <c r="J20" t="str">
        <f xml:space="preserve"> ", UNIQUE KEY CELLNUM (`"&amp;B8&amp;"`) "</f>
        <v xml:space="preserve">, UNIQUE KEY CELLNUM (`STORE_CELL_NUM`) </v>
      </c>
    </row>
    <row r="21" spans="2:10" x14ac:dyDescent="0.4">
      <c r="J21" t="str">
        <f xml:space="preserve"> ") COMMENT = '" &amp;C3&amp; "';  "</f>
        <v xml:space="preserve">) COMMENT = '가맹점';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055A-447C-4037-B9D5-5386DD815341}">
  <dimension ref="B3:J17"/>
  <sheetViews>
    <sheetView workbookViewId="0">
      <selection activeCell="C6" sqref="C6"/>
    </sheetView>
  </sheetViews>
  <sheetFormatPr defaultRowHeight="17.399999999999999" x14ac:dyDescent="0.4"/>
  <cols>
    <col min="2" max="2" width="20.3984375" bestFit="1" customWidth="1"/>
    <col min="3" max="3" width="15.69921875" bestFit="1" customWidth="1"/>
    <col min="4" max="4" width="9.296875" bestFit="1" customWidth="1"/>
    <col min="10" max="10" width="77.3984375" customWidth="1"/>
  </cols>
  <sheetData>
    <row r="3" spans="2:10" x14ac:dyDescent="0.4">
      <c r="B3" s="1" t="str">
        <f>'테이블 리스트'!B5</f>
        <v>CRBN_STORE_LGN_HST</v>
      </c>
      <c r="C3" s="7" t="str">
        <f>'테이블 리스트'!C5</f>
        <v>가맹점 로그인 이력</v>
      </c>
      <c r="D3" s="8"/>
      <c r="E3" s="8"/>
      <c r="F3" s="8"/>
      <c r="G3" s="9"/>
      <c r="J3" t="str">
        <f>"CREATE TABLE " &amp; B3</f>
        <v>CREATE TABLE CRBN_STORE_LGN_HST</v>
      </c>
    </row>
    <row r="4" spans="2:10" x14ac:dyDescent="0.4">
      <c r="B4" s="1" t="s">
        <v>1</v>
      </c>
      <c r="C4" s="2" t="s">
        <v>2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38</v>
      </c>
      <c r="J4" t="str">
        <f>"("</f>
        <v>(</v>
      </c>
    </row>
    <row r="5" spans="2:10" x14ac:dyDescent="0.4">
      <c r="B5" s="1" t="s">
        <v>29</v>
      </c>
      <c r="C5" s="1" t="s">
        <v>19</v>
      </c>
      <c r="D5" s="1" t="s">
        <v>68</v>
      </c>
      <c r="E5" s="1"/>
      <c r="F5" s="1" t="s">
        <v>30</v>
      </c>
      <c r="G5" s="1" t="s">
        <v>15</v>
      </c>
      <c r="H5" s="1" t="s">
        <v>15</v>
      </c>
      <c r="J5" t="str">
        <f>"     " &amp;B5 &amp; " " &amp; D5 &amp; IF(E5&lt;&gt;"","("&amp;E5&amp;") "," ") &amp; IF(F5="N","NOT NULL ","")&amp;" primary key auto_increment  COMMENT " &amp; " '" &amp; C5 &amp; "'"</f>
        <v xml:space="preserve">     LGN_SEQ INT NOT NULL  primary key auto_increment  COMMENT  '로그인순번'</v>
      </c>
    </row>
    <row r="6" spans="2:10" x14ac:dyDescent="0.4">
      <c r="B6" s="1" t="s">
        <v>64</v>
      </c>
      <c r="C6" s="2" t="s">
        <v>82</v>
      </c>
      <c r="D6" s="1" t="s">
        <v>17</v>
      </c>
      <c r="E6" s="1">
        <v>20</v>
      </c>
      <c r="F6" s="1" t="s">
        <v>30</v>
      </c>
      <c r="G6" s="1"/>
      <c r="H6" s="1"/>
      <c r="J6" t="str">
        <f>"    ,"&amp;B6&amp;" "&amp;D6&amp;" " &amp; IF(E6&lt;&gt;"","("&amp;E6&amp;") "," ") &amp; IF(F6="N","NOT NULL ","") &amp;" COMMENT "&amp;" '"&amp;C6&amp;"'"</f>
        <v xml:space="preserve">    ,STORE_ID VARCHAR (20) NOT NULL  COMMENT  '가맹점아이디'</v>
      </c>
    </row>
    <row r="7" spans="2:10" x14ac:dyDescent="0.4">
      <c r="B7" s="1" t="s">
        <v>24</v>
      </c>
      <c r="C7" s="1" t="s">
        <v>20</v>
      </c>
      <c r="D7" s="1" t="s">
        <v>17</v>
      </c>
      <c r="E7" s="1">
        <v>20</v>
      </c>
      <c r="F7" s="1" t="s">
        <v>30</v>
      </c>
      <c r="G7" s="1"/>
      <c r="H7" s="1"/>
      <c r="J7" t="str">
        <f>"    ,"&amp;B7&amp;" "&amp;D7&amp;" " &amp; IF(E7&lt;&gt;"","("&amp;E7&amp;") "," ") &amp; IF(F7="N","NOT NULL ","") &amp;" COMMENT "&amp;" '"&amp;C7&amp;"'"</f>
        <v xml:space="preserve">    ,LGN_IP VARCHAR (20) NOT NULL  COMMENT  '아이피'</v>
      </c>
    </row>
    <row r="8" spans="2:10" x14ac:dyDescent="0.4">
      <c r="B8" s="1" t="s">
        <v>25</v>
      </c>
      <c r="C8" s="1" t="s">
        <v>22</v>
      </c>
      <c r="D8" s="1" t="s">
        <v>17</v>
      </c>
      <c r="E8" s="1">
        <v>20</v>
      </c>
      <c r="F8" s="1"/>
      <c r="G8" s="1"/>
      <c r="H8" s="1"/>
      <c r="J8" t="str">
        <f>"    ,"&amp;B8&amp;" "&amp;D8&amp;" " &amp; IF(E8&lt;&gt;"","("&amp;E8&amp;") "," ") &amp; IF(F8="N","NOT NULL ","") &amp;" COMMENT "&amp;" '"&amp;C8&amp;"'"</f>
        <v xml:space="preserve">    ,LGN_OS VARCHAR (20)  COMMENT  'OS'</v>
      </c>
    </row>
    <row r="9" spans="2:10" x14ac:dyDescent="0.4">
      <c r="B9" s="1" t="s">
        <v>26</v>
      </c>
      <c r="C9" s="1" t="s">
        <v>23</v>
      </c>
      <c r="D9" s="1" t="s">
        <v>17</v>
      </c>
      <c r="E9" s="1">
        <v>30</v>
      </c>
      <c r="F9" s="1"/>
      <c r="G9" s="1"/>
      <c r="H9" s="1"/>
      <c r="J9" t="str">
        <f>"    ,"&amp;B9&amp;" "&amp;D9&amp;" " &amp; IF(E9&lt;&gt;"","("&amp;E9&amp;") "," ") &amp; IF(F9="N","NOT NULL ","") &amp;" COMMENT "&amp;" '"&amp;C9&amp;"'"</f>
        <v xml:space="preserve">    ,LGN_BROWSER VARCHAR (30)  COMMENT  '브라우져'</v>
      </c>
    </row>
    <row r="10" spans="2:10" x14ac:dyDescent="0.4">
      <c r="B10" s="1" t="s">
        <v>11</v>
      </c>
      <c r="C10" s="1" t="s">
        <v>21</v>
      </c>
      <c r="D10" s="5" t="s">
        <v>70</v>
      </c>
      <c r="E10" s="5"/>
      <c r="F10" s="1" t="s">
        <v>30</v>
      </c>
      <c r="G10" s="1"/>
      <c r="H10" s="1"/>
      <c r="J10" t="str">
        <f>"    ,"&amp;B10&amp;" "&amp;D10&amp;" " &amp; IF(E10&lt;&gt;"","("&amp;E10&amp;") "," ") &amp; IF(F10="N","NOT NULL DEFAULT CURRENT_TIMESTAMP ","") &amp;" COMMENT "&amp;" '"&amp;C10&amp;"'"</f>
        <v xml:space="preserve">    ,CRE_DTM DATETIME  NOT NULL DEFAULT CURRENT_TIMESTAMP  COMMENT  '로그인일시'</v>
      </c>
    </row>
    <row r="11" spans="2:10" x14ac:dyDescent="0.4">
      <c r="H11" s="1"/>
      <c r="J11" t="str">
        <f xml:space="preserve"> ") "</f>
        <v xml:space="preserve">) </v>
      </c>
    </row>
    <row r="12" spans="2:10" x14ac:dyDescent="0.4">
      <c r="H12" s="1"/>
      <c r="J12" t="str">
        <f xml:space="preserve"> "COMMENT = '" &amp;C3&amp; "';  "</f>
        <v xml:space="preserve">COMMENT = '가맹점 로그인 이력';  </v>
      </c>
    </row>
    <row r="13" spans="2:10" x14ac:dyDescent="0.4">
      <c r="H13" s="1"/>
    </row>
    <row r="14" spans="2:10" x14ac:dyDescent="0.4">
      <c r="H14" s="1"/>
    </row>
    <row r="15" spans="2:10" x14ac:dyDescent="0.4">
      <c r="H15" s="1"/>
    </row>
    <row r="16" spans="2:10" x14ac:dyDescent="0.4">
      <c r="H16" s="1"/>
    </row>
    <row r="17" spans="8:8" x14ac:dyDescent="0.4">
      <c r="H17" s="1"/>
    </row>
  </sheetData>
  <mergeCells count="1">
    <mergeCell ref="C3:G3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ADE2-9324-4DB8-B107-1CBA40FA26C4}">
  <dimension ref="B3:J13"/>
  <sheetViews>
    <sheetView topLeftCell="B1" workbookViewId="0">
      <selection activeCell="C8" sqref="C8"/>
    </sheetView>
  </sheetViews>
  <sheetFormatPr defaultRowHeight="17.399999999999999" x14ac:dyDescent="0.4"/>
  <cols>
    <col min="2" max="2" width="19.59765625" bestFit="1" customWidth="1"/>
    <col min="3" max="3" width="26.09765625" customWidth="1"/>
    <col min="4" max="4" width="9.296875" bestFit="1" customWidth="1"/>
    <col min="6" max="6" width="10.19921875" bestFit="1" customWidth="1"/>
    <col min="10" max="10" width="48.69921875" bestFit="1" customWidth="1"/>
  </cols>
  <sheetData>
    <row r="3" spans="2:10" x14ac:dyDescent="0.4">
      <c r="B3" s="1" t="str">
        <f>'테이블 리스트'!B6</f>
        <v>CRBN_DGT_QR_INFO</v>
      </c>
      <c r="C3" s="7" t="str">
        <f>'테이블 리스트'!C6</f>
        <v>디지털 QR 정보</v>
      </c>
      <c r="D3" s="8"/>
      <c r="E3" s="8"/>
      <c r="F3" s="8"/>
      <c r="G3" s="8"/>
      <c r="H3" s="9"/>
      <c r="J3" t="str">
        <f>"CREATE TABLE " &amp; B3</f>
        <v>CREATE TABLE CRBN_DGT_QR_INFO</v>
      </c>
    </row>
    <row r="4" spans="2:10" x14ac:dyDescent="0.4">
      <c r="B4" s="1" t="s">
        <v>1</v>
      </c>
      <c r="C4" s="2" t="s">
        <v>2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38</v>
      </c>
      <c r="J4" t="str">
        <f>"("</f>
        <v>(</v>
      </c>
    </row>
    <row r="5" spans="2:10" x14ac:dyDescent="0.4">
      <c r="B5" s="1" t="s">
        <v>44</v>
      </c>
      <c r="C5" s="1" t="s">
        <v>33</v>
      </c>
      <c r="D5" s="1" t="s">
        <v>17</v>
      </c>
      <c r="E5" s="1">
        <v>12</v>
      </c>
      <c r="F5" s="1" t="s">
        <v>30</v>
      </c>
      <c r="G5" s="1" t="s">
        <v>8</v>
      </c>
      <c r="H5" s="1"/>
      <c r="J5" t="str">
        <f>"    "&amp;B5&amp;" "&amp;D5&amp;" " &amp; IF(E5&lt;&gt;"","("&amp;E5&amp;") "," ") &amp; IF(F5="N","NOT NULL ","") &amp;" COMMENT "&amp;" '"&amp;C5&amp;"'"</f>
        <v xml:space="preserve">    DGT_QR_CD VARCHAR (12) NOT NULL  COMMENT  '디지털 QR코드 '</v>
      </c>
    </row>
    <row r="6" spans="2:10" x14ac:dyDescent="0.4">
      <c r="B6" s="1" t="s">
        <v>44</v>
      </c>
      <c r="C6" t="s">
        <v>48</v>
      </c>
      <c r="D6" s="1" t="s">
        <v>71</v>
      </c>
      <c r="E6" s="1"/>
      <c r="F6" s="1" t="s">
        <v>30</v>
      </c>
      <c r="G6" s="1"/>
      <c r="H6" s="1"/>
      <c r="J6" t="str">
        <f t="shared" ref="J6:J11" si="0">"    ,"&amp;B6&amp;" "&amp;D6&amp;" " &amp; IF(E6&lt;&gt;"","("&amp;E6&amp;") "," ") &amp; IF(F6="N","NOT NULL ","") &amp;" COMMENT "&amp;" '"&amp;C6&amp;"'"</f>
        <v xml:space="preserve">    ,DGT_QR_CD BLOB  NOT NULL  COMMENT  '디지털 QR코드 이미지'</v>
      </c>
    </row>
    <row r="7" spans="2:10" x14ac:dyDescent="0.4">
      <c r="B7" s="1" t="s">
        <v>91</v>
      </c>
      <c r="C7" s="1" t="s">
        <v>92</v>
      </c>
      <c r="D7" s="1" t="s">
        <v>17</v>
      </c>
      <c r="E7" s="1">
        <v>1</v>
      </c>
      <c r="F7" s="1"/>
      <c r="G7" s="1"/>
      <c r="H7" s="1"/>
      <c r="J7" t="str">
        <f>"    ,"&amp;B7&amp;" "&amp;D7&amp;" " &amp; IF(E7&lt;&gt;"","("&amp;E7&amp;") "," ") &amp; IF(F7="N","NOT NULL ","") &amp;" COMMENT "&amp;" '"&amp;C7&amp;"'"</f>
        <v xml:space="preserve">    ,QR_STAT VARCHAR (1)  COMMENT  'QR 상태'</v>
      </c>
    </row>
    <row r="8" spans="2:10" x14ac:dyDescent="0.4">
      <c r="B8" s="1" t="s">
        <v>84</v>
      </c>
      <c r="C8" t="s">
        <v>93</v>
      </c>
      <c r="D8" s="5" t="s">
        <v>70</v>
      </c>
      <c r="E8" s="5"/>
      <c r="F8" s="1"/>
      <c r="G8" s="1"/>
      <c r="H8" s="1"/>
      <c r="J8" t="str">
        <f t="shared" si="0"/>
        <v xml:space="preserve">    ,QR_USE_AVAIL_DTM DATETIME   COMMENT  '사용등록 일시'</v>
      </c>
    </row>
    <row r="9" spans="2:10" x14ac:dyDescent="0.4">
      <c r="B9" s="1" t="s">
        <v>67</v>
      </c>
      <c r="C9" t="s">
        <v>94</v>
      </c>
      <c r="D9" s="1" t="s">
        <v>17</v>
      </c>
      <c r="E9" s="1">
        <v>20</v>
      </c>
      <c r="F9" s="1"/>
      <c r="G9" s="1"/>
      <c r="H9" s="1"/>
      <c r="J9" t="str">
        <f>"    ,"&amp;B9&amp;" "&amp;D9&amp;" " &amp; IF(E9&lt;&gt;"","("&amp;E9&amp;") "," ") &amp; IF(F9="N","NOT NULL ","") &amp;" COMMENT "&amp;" '"&amp;C9&amp;"'"</f>
        <v xml:space="preserve">    ,CRBN_ADM_ID VARCHAR (20)  COMMENT  '사용등록 담당자'</v>
      </c>
    </row>
    <row r="10" spans="2:10" x14ac:dyDescent="0.4">
      <c r="B10" s="1" t="s">
        <v>11</v>
      </c>
      <c r="C10" s="1" t="s">
        <v>12</v>
      </c>
      <c r="D10" s="5" t="s">
        <v>70</v>
      </c>
      <c r="E10" s="5"/>
      <c r="F10" s="1" t="s">
        <v>30</v>
      </c>
      <c r="G10" s="1"/>
      <c r="H10" s="1"/>
      <c r="J10" t="str">
        <f>"    ,"&amp;B10&amp;" "&amp;D10&amp;" " &amp; IF(E10&lt;&gt;"","("&amp;E10&amp;") "," ") &amp; IF(F10="N","NOT NULL DEFAULT CURRENT_TIMESTAMP ","") &amp;" COMMENT "&amp;" '"&amp;C10&amp;"'"</f>
        <v xml:space="preserve">    ,CRE_DTM DATETIME  NOT NULL DEFAULT CURRENT_TIMESTAMP  COMMENT  '생성일시'</v>
      </c>
    </row>
    <row r="11" spans="2:10" x14ac:dyDescent="0.4">
      <c r="B11" s="1" t="s">
        <v>13</v>
      </c>
      <c r="C11" s="1" t="s">
        <v>14</v>
      </c>
      <c r="D11" s="5" t="s">
        <v>70</v>
      </c>
      <c r="E11" s="5"/>
      <c r="F11" s="1"/>
      <c r="G11" s="1"/>
      <c r="H11" s="1"/>
      <c r="J11" t="str">
        <f t="shared" si="0"/>
        <v xml:space="preserve">    ,CHG_DTM DATETIME   COMMENT  '변경일시'</v>
      </c>
    </row>
    <row r="12" spans="2:10" x14ac:dyDescent="0.4">
      <c r="J12" t="str">
        <f xml:space="preserve"> ", PRIMARY KEY (`"&amp;B5&amp;"`) )"</f>
        <v>, PRIMARY KEY (`DGT_QR_CD`) )</v>
      </c>
    </row>
    <row r="13" spans="2:10" x14ac:dyDescent="0.4">
      <c r="J13" t="str">
        <f xml:space="preserve"> "COMMENT = '" &amp;C3&amp; "';  "</f>
        <v xml:space="preserve">COMMENT = '디지털 QR 정보';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5DFD-3E54-4FA1-BD58-AF3C6D0ADCFC}">
  <dimension ref="B3:J22"/>
  <sheetViews>
    <sheetView topLeftCell="B1" workbookViewId="0">
      <selection activeCell="B11" sqref="B11"/>
    </sheetView>
  </sheetViews>
  <sheetFormatPr defaultRowHeight="17.399999999999999" x14ac:dyDescent="0.4"/>
  <cols>
    <col min="2" max="2" width="19.59765625" bestFit="1" customWidth="1"/>
    <col min="3" max="3" width="26.09765625" customWidth="1"/>
    <col min="4" max="4" width="9.296875" bestFit="1" customWidth="1"/>
    <col min="6" max="6" width="10.19921875" bestFit="1" customWidth="1"/>
    <col min="10" max="10" width="48.69921875" bestFit="1" customWidth="1"/>
  </cols>
  <sheetData>
    <row r="3" spans="2:10" x14ac:dyDescent="0.4">
      <c r="B3" s="1" t="str">
        <f>'테이블 리스트'!B7</f>
        <v>CRBN_PPR_QR_INFO</v>
      </c>
      <c r="C3" s="7" t="str">
        <f>'테이블 리스트'!C7</f>
        <v>종이 QR 정보</v>
      </c>
      <c r="D3" s="8"/>
      <c r="E3" s="8"/>
      <c r="F3" s="8"/>
      <c r="G3" s="8"/>
      <c r="H3" s="9"/>
      <c r="J3" t="str">
        <f>"CREATE TABLE " &amp; B3</f>
        <v>CREATE TABLE CRBN_PPR_QR_INFO</v>
      </c>
    </row>
    <row r="4" spans="2:10" x14ac:dyDescent="0.4">
      <c r="B4" s="1" t="s">
        <v>1</v>
      </c>
      <c r="C4" s="2" t="s">
        <v>2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38</v>
      </c>
      <c r="J4" t="str">
        <f>"("</f>
        <v>(</v>
      </c>
    </row>
    <row r="5" spans="2:10" x14ac:dyDescent="0.4">
      <c r="B5" s="1" t="s">
        <v>45</v>
      </c>
      <c r="C5" s="1" t="s">
        <v>42</v>
      </c>
      <c r="D5" s="1" t="s">
        <v>17</v>
      </c>
      <c r="E5" s="1">
        <v>12</v>
      </c>
      <c r="F5" s="1" t="s">
        <v>30</v>
      </c>
      <c r="G5" s="1" t="s">
        <v>8</v>
      </c>
      <c r="H5" s="1"/>
      <c r="J5" t="str">
        <f>"    "&amp;B5&amp;" "&amp;D5&amp;" " &amp; IF(E5&lt;&gt;"","("&amp;E5&amp;") "," ") &amp; IF(F5="N","NOT NULL ","") &amp;" COMMENT "&amp;" '"&amp;C5&amp;"'"</f>
        <v xml:space="preserve">    PPR_QR_CD VARCHAR (12) NOT NULL  COMMENT  '종이 QR코드 '</v>
      </c>
    </row>
    <row r="6" spans="2:10" x14ac:dyDescent="0.4">
      <c r="B6" t="s">
        <v>104</v>
      </c>
      <c r="C6" s="2" t="s">
        <v>66</v>
      </c>
      <c r="D6" s="1" t="s">
        <v>17</v>
      </c>
      <c r="E6" s="1">
        <v>20</v>
      </c>
      <c r="F6" s="1" t="s">
        <v>30</v>
      </c>
      <c r="G6" s="1"/>
      <c r="H6" s="1"/>
      <c r="J6" t="str">
        <f t="shared" ref="J6" si="0">"    ,"&amp;B6&amp;" "&amp;D6&amp;" " &amp; IF(E6&lt;&gt;"","("&amp;E6&amp;") "," ") &amp; IF(F6="N","NOT NULL ","") &amp;" COMMENT "&amp;" '"&amp;C6&amp;"'"</f>
        <v xml:space="preserve">    ,PARTY_CD VARCHAR (20) NOT NULL  COMMENT  '소속코드'</v>
      </c>
    </row>
    <row r="7" spans="2:10" x14ac:dyDescent="0.4">
      <c r="B7" s="1" t="s">
        <v>87</v>
      </c>
      <c r="C7" s="1" t="s">
        <v>90</v>
      </c>
      <c r="D7" s="1" t="s">
        <v>17</v>
      </c>
      <c r="E7" s="1">
        <v>1</v>
      </c>
      <c r="F7" s="1"/>
      <c r="G7" s="1"/>
      <c r="H7" s="1"/>
      <c r="J7" t="str">
        <f>"    ,"&amp;B7&amp;" "&amp;D7&amp;" " &amp; IF(E7&lt;&gt;"","("&amp;E7&amp;") "," ") &amp; IF(F7="N","NOT NULL ","") &amp;" COMMENT "&amp;" '"&amp;C7&amp;"'"</f>
        <v xml:space="preserve">    ,QR_PRINT_YN VARCHAR (1)  COMMENT  '종이 QR 상태'</v>
      </c>
    </row>
    <row r="8" spans="2:10" x14ac:dyDescent="0.4">
      <c r="B8" s="1" t="s">
        <v>88</v>
      </c>
      <c r="C8" s="1" t="s">
        <v>85</v>
      </c>
      <c r="D8" s="5" t="s">
        <v>70</v>
      </c>
      <c r="E8" s="5"/>
      <c r="F8" s="1"/>
      <c r="G8" s="1"/>
      <c r="H8" s="1"/>
      <c r="J8" t="str">
        <f t="shared" ref="J8:J15" si="1">"    ,"&amp;B8&amp;" "&amp;D8&amp;" " &amp; IF(E8&lt;&gt;"","("&amp;E8&amp;") "," ") &amp; IF(F8="N","NOT NULL ","") &amp;" COMMENT "&amp;" '"&amp;C8&amp;"'"</f>
        <v xml:space="preserve">    ,QR_PRINT_DTM DATETIME   COMMENT  '출력일시'</v>
      </c>
    </row>
    <row r="9" spans="2:10" x14ac:dyDescent="0.4">
      <c r="B9" s="1" t="s">
        <v>89</v>
      </c>
      <c r="C9" s="1" t="s">
        <v>86</v>
      </c>
      <c r="D9" s="1" t="s">
        <v>17</v>
      </c>
      <c r="E9" s="1">
        <v>20</v>
      </c>
      <c r="F9" s="1"/>
      <c r="G9" s="1"/>
      <c r="H9" s="1"/>
      <c r="J9" t="str">
        <f>"    ,"&amp;B9&amp;" "&amp;D9&amp;" " &amp; IF(E9&lt;&gt;"","("&amp;E9&amp;") "," ") &amp; IF(F9="N","NOT NULL ","") &amp;" COMMENT "&amp;" '"&amp;C9&amp;"'"</f>
        <v xml:space="preserve">    ,QR_PRINT_ID VARCHAR (20)  COMMENT  '출력처리 담당자'</v>
      </c>
    </row>
    <row r="10" spans="2:10" x14ac:dyDescent="0.4">
      <c r="B10" s="1" t="s">
        <v>97</v>
      </c>
      <c r="C10" s="1" t="s">
        <v>95</v>
      </c>
      <c r="D10" s="5" t="s">
        <v>70</v>
      </c>
      <c r="E10" s="5"/>
      <c r="F10" s="1"/>
      <c r="G10" s="1"/>
      <c r="H10" s="1"/>
      <c r="J10" t="str">
        <f t="shared" ref="J10" si="2">"    ,"&amp;B10&amp;" "&amp;D10&amp;" " &amp; IF(E10&lt;&gt;"","("&amp;E10&amp;") "," ") &amp; IF(F10="N","NOT NULL ","") &amp;" COMMENT "&amp;" '"&amp;C10&amp;"'"</f>
        <v xml:space="preserve">    ,QR_SALE_DTM DATETIME   COMMENT  '판매일시'</v>
      </c>
    </row>
    <row r="11" spans="2:10" x14ac:dyDescent="0.4">
      <c r="B11" s="1" t="s">
        <v>98</v>
      </c>
      <c r="C11" s="1" t="s">
        <v>96</v>
      </c>
      <c r="D11" s="1" t="s">
        <v>17</v>
      </c>
      <c r="E11" s="1">
        <v>20</v>
      </c>
      <c r="F11" s="1"/>
      <c r="G11" s="1"/>
      <c r="H11" s="1"/>
      <c r="J11" t="str">
        <f>"    ,"&amp;B11&amp;" "&amp;D11&amp;" " &amp; IF(E11&lt;&gt;"","("&amp;E11&amp;") "," ") &amp; IF(F11="N","NOT NULL ","") &amp;" COMMENT "&amp;" '"&amp;C11&amp;"'"</f>
        <v xml:space="preserve">    ,QR_SALE_ID VARCHAR (20)  COMMENT  '판매 담당자'</v>
      </c>
    </row>
    <row r="12" spans="2:10" x14ac:dyDescent="0.4">
      <c r="B12" s="1" t="s">
        <v>100</v>
      </c>
      <c r="C12" s="1" t="s">
        <v>93</v>
      </c>
      <c r="D12" s="5" t="s">
        <v>70</v>
      </c>
      <c r="E12" s="5"/>
      <c r="F12" s="1"/>
      <c r="G12" s="1"/>
      <c r="H12" s="1"/>
      <c r="J12" t="str">
        <f t="shared" ref="J12" si="3">"    ,"&amp;B12&amp;" "&amp;D12&amp;" " &amp; IF(E12&lt;&gt;"","("&amp;E12&amp;") "," ") &amp; IF(F12="N","NOT NULL ","") &amp;" COMMENT "&amp;" '"&amp;C12&amp;"'"</f>
        <v xml:space="preserve">    ,QR_USE_DTM DATETIME   COMMENT  '사용등록 일시'</v>
      </c>
    </row>
    <row r="13" spans="2:10" x14ac:dyDescent="0.4">
      <c r="B13" s="1" t="s">
        <v>101</v>
      </c>
      <c r="C13" s="1" t="s">
        <v>99</v>
      </c>
      <c r="D13" s="1" t="s">
        <v>17</v>
      </c>
      <c r="E13" s="1">
        <v>20</v>
      </c>
      <c r="F13" s="1"/>
      <c r="G13" s="1"/>
      <c r="H13" s="1"/>
      <c r="J13" t="str">
        <f>"    ,"&amp;B13&amp;" "&amp;D13&amp;" " &amp; IF(E13&lt;&gt;"","("&amp;E13&amp;") "," ") &amp; IF(F13="N","NOT NULL ","") &amp;" COMMENT "&amp;" '"&amp;C13&amp;"'"</f>
        <v xml:space="preserve">    ,QR_USE_ID VARCHAR (20)  COMMENT  '사용등록  담당자'</v>
      </c>
    </row>
    <row r="14" spans="2:10" x14ac:dyDescent="0.4">
      <c r="B14" s="1" t="s">
        <v>11</v>
      </c>
      <c r="C14" s="1" t="s">
        <v>12</v>
      </c>
      <c r="D14" s="5" t="s">
        <v>70</v>
      </c>
      <c r="E14" s="5"/>
      <c r="F14" s="1" t="s">
        <v>30</v>
      </c>
      <c r="G14" s="1"/>
      <c r="H14" s="1"/>
      <c r="J14" t="str">
        <f>"    ,"&amp;B14&amp;" "&amp;D14&amp;" " &amp; IF(E14&lt;&gt;"","("&amp;E14&amp;") "," ") &amp; IF(F14="N","NOT NULL DEFAULT CURRENT_TIMESTAMP ","") &amp;" COMMENT "&amp;" '"&amp;C14&amp;"'"</f>
        <v xml:space="preserve">    ,CRE_DTM DATETIME  NOT NULL DEFAULT CURRENT_TIMESTAMP  COMMENT  '생성일시'</v>
      </c>
    </row>
    <row r="15" spans="2:10" x14ac:dyDescent="0.4">
      <c r="B15" s="1" t="s">
        <v>13</v>
      </c>
      <c r="C15" s="1" t="s">
        <v>14</v>
      </c>
      <c r="D15" s="5" t="s">
        <v>70</v>
      </c>
      <c r="E15" s="5"/>
      <c r="F15" s="1"/>
      <c r="G15" s="1"/>
      <c r="H15" s="1"/>
      <c r="J15" t="str">
        <f t="shared" si="1"/>
        <v xml:space="preserve">    ,CHG_DTM DATETIME   COMMENT  '변경일시'</v>
      </c>
    </row>
    <row r="16" spans="2:10" x14ac:dyDescent="0.4">
      <c r="J16" t="str">
        <f xml:space="preserve"> ", PRIMARY KEY (`"&amp;B5&amp;"`) )"</f>
        <v>, PRIMARY KEY (`PPR_QR_CD`) )</v>
      </c>
    </row>
    <row r="17" spans="3:10" x14ac:dyDescent="0.4">
      <c r="J17" t="str">
        <f xml:space="preserve"> "COMMENT = '" &amp;C3&amp; "';  "</f>
        <v xml:space="preserve">COMMENT = '종이 QR 정보';  </v>
      </c>
    </row>
    <row r="19" spans="3:10" x14ac:dyDescent="0.4">
      <c r="C19" s="6"/>
    </row>
    <row r="20" spans="3:10" x14ac:dyDescent="0.4">
      <c r="C20" s="6"/>
    </row>
    <row r="21" spans="3:10" x14ac:dyDescent="0.4">
      <c r="C21" s="6"/>
    </row>
    <row r="22" spans="3:10" x14ac:dyDescent="0.4">
      <c r="C22" s="6"/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472F-8A3B-4DE1-A82C-C16F01EB7ABB}">
  <dimension ref="B3:J22"/>
  <sheetViews>
    <sheetView topLeftCell="B1" workbookViewId="0">
      <selection activeCell="B8" sqref="B8"/>
    </sheetView>
  </sheetViews>
  <sheetFormatPr defaultRowHeight="17.399999999999999" x14ac:dyDescent="0.4"/>
  <cols>
    <col min="2" max="2" width="19.59765625" bestFit="1" customWidth="1"/>
    <col min="3" max="3" width="26.09765625" customWidth="1"/>
    <col min="4" max="4" width="9.296875" bestFit="1" customWidth="1"/>
    <col min="6" max="6" width="10.19921875" bestFit="1" customWidth="1"/>
    <col min="10" max="10" width="48.69921875" bestFit="1" customWidth="1"/>
  </cols>
  <sheetData>
    <row r="3" spans="2:10" x14ac:dyDescent="0.4">
      <c r="B3" s="1" t="str">
        <f>'테이블 리스트'!B8</f>
        <v>CRBN_QR_SALE_INFO</v>
      </c>
      <c r="C3" s="7" t="str">
        <f>'테이블 리스트'!C8</f>
        <v>QR 판매 정보</v>
      </c>
      <c r="D3" s="8"/>
      <c r="E3" s="8"/>
      <c r="F3" s="8"/>
      <c r="G3" s="8"/>
      <c r="H3" s="9"/>
      <c r="J3" t="str">
        <f>"CREATE TABLE " &amp; B3</f>
        <v>CREATE TABLE CRBN_QR_SALE_INFO</v>
      </c>
    </row>
    <row r="4" spans="2:10" x14ac:dyDescent="0.4">
      <c r="B4" s="1" t="s">
        <v>1</v>
      </c>
      <c r="C4" s="2" t="s">
        <v>2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38</v>
      </c>
      <c r="J4" t="str">
        <f>"("</f>
        <v>(</v>
      </c>
    </row>
    <row r="5" spans="2:10" x14ac:dyDescent="0.4">
      <c r="B5" s="1" t="s">
        <v>106</v>
      </c>
      <c r="C5" s="2" t="s">
        <v>49</v>
      </c>
      <c r="D5" s="1" t="s">
        <v>69</v>
      </c>
      <c r="E5" s="1"/>
      <c r="F5" s="1" t="s">
        <v>30</v>
      </c>
      <c r="G5" s="1" t="s">
        <v>8</v>
      </c>
      <c r="H5" s="1"/>
      <c r="J5" t="str">
        <f>"     " &amp;B5 &amp; " " &amp; D5 &amp; IF(E5&lt;&gt;"","("&amp;E5&amp;") "," ") &amp; IF(F5="N","NOT NULL ","")&amp;" primary key auto_increment  COMMENT " &amp; " '" &amp; C5 &amp; "'"</f>
        <v xml:space="preserve">     SEQ int NOT NULL  primary key auto_increment  COMMENT  '순번'</v>
      </c>
    </row>
    <row r="6" spans="2:10" x14ac:dyDescent="0.4">
      <c r="B6" s="1" t="s">
        <v>45</v>
      </c>
      <c r="C6" s="1" t="s">
        <v>42</v>
      </c>
      <c r="D6" s="1" t="s">
        <v>17</v>
      </c>
      <c r="E6" s="1">
        <v>12</v>
      </c>
      <c r="F6" s="1" t="s">
        <v>30</v>
      </c>
      <c r="G6" s="1" t="s">
        <v>8</v>
      </c>
      <c r="H6" s="1"/>
      <c r="J6" t="str">
        <f>"    "&amp;B6&amp;" "&amp;D6&amp;" " &amp; IF(E6&lt;&gt;"","("&amp;E6&amp;") "," ") &amp; IF(F6="N","NOT NULL ","") &amp;" COMMENT "&amp;" '"&amp;C6&amp;"'"</f>
        <v xml:space="preserve">    PPR_QR_CD VARCHAR (12) NOT NULL  COMMENT  '종이 QR코드 '</v>
      </c>
    </row>
    <row r="7" spans="2:10" x14ac:dyDescent="0.4">
      <c r="B7" s="1" t="s">
        <v>87</v>
      </c>
      <c r="C7" s="1" t="s">
        <v>90</v>
      </c>
      <c r="D7" s="1" t="s">
        <v>17</v>
      </c>
      <c r="E7" s="1">
        <v>1</v>
      </c>
      <c r="F7" s="1"/>
      <c r="G7" s="1"/>
      <c r="H7" s="1"/>
      <c r="J7" t="str">
        <f>"    ,"&amp;B7&amp;" "&amp;D7&amp;" " &amp; IF(E7&lt;&gt;"","("&amp;E7&amp;") "," ") &amp; IF(F7="N","NOT NULL ","") &amp;" COMMENT "&amp;" '"&amp;C7&amp;"'"</f>
        <v xml:space="preserve">    ,QR_PRINT_YN VARCHAR (1)  COMMENT  '종이 QR 상태'</v>
      </c>
    </row>
    <row r="8" spans="2:10" x14ac:dyDescent="0.4">
      <c r="B8" s="1" t="s">
        <v>88</v>
      </c>
      <c r="C8" s="1" t="s">
        <v>85</v>
      </c>
      <c r="D8" s="5" t="s">
        <v>70</v>
      </c>
      <c r="E8" s="5"/>
      <c r="F8" s="1"/>
      <c r="G8" s="1"/>
      <c r="H8" s="1"/>
      <c r="J8" t="str">
        <f t="shared" ref="J8:J15" si="0">"    ,"&amp;B8&amp;" "&amp;D8&amp;" " &amp; IF(E8&lt;&gt;"","("&amp;E8&amp;") "," ") &amp; IF(F8="N","NOT NULL ","") &amp;" COMMENT "&amp;" '"&amp;C8&amp;"'"</f>
        <v xml:space="preserve">    ,QR_PRINT_DTM DATETIME   COMMENT  '출력일시'</v>
      </c>
    </row>
    <row r="9" spans="2:10" x14ac:dyDescent="0.4">
      <c r="B9" s="1" t="s">
        <v>89</v>
      </c>
      <c r="C9" s="1" t="s">
        <v>86</v>
      </c>
      <c r="D9" s="1" t="s">
        <v>17</v>
      </c>
      <c r="E9" s="1">
        <v>20</v>
      </c>
      <c r="F9" s="1"/>
      <c r="G9" s="1"/>
      <c r="H9" s="1"/>
      <c r="J9" t="str">
        <f>"    ,"&amp;B9&amp;" "&amp;D9&amp;" " &amp; IF(E9&lt;&gt;"","("&amp;E9&amp;") "," ") &amp; IF(F9="N","NOT NULL ","") &amp;" COMMENT "&amp;" '"&amp;C9&amp;"'"</f>
        <v xml:space="preserve">    ,QR_PRINT_ID VARCHAR (20)  COMMENT  '출력처리 담당자'</v>
      </c>
    </row>
    <row r="10" spans="2:10" x14ac:dyDescent="0.4">
      <c r="B10" s="1" t="s">
        <v>97</v>
      </c>
      <c r="C10" s="1" t="s">
        <v>95</v>
      </c>
      <c r="D10" s="5" t="s">
        <v>70</v>
      </c>
      <c r="E10" s="5"/>
      <c r="F10" s="1"/>
      <c r="G10" s="1"/>
      <c r="H10" s="1"/>
      <c r="J10" t="str">
        <f t="shared" ref="J10" si="1">"    ,"&amp;B10&amp;" "&amp;D10&amp;" " &amp; IF(E10&lt;&gt;"","("&amp;E10&amp;") "," ") &amp; IF(F10="N","NOT NULL ","") &amp;" COMMENT "&amp;" '"&amp;C10&amp;"'"</f>
        <v xml:space="preserve">    ,QR_SALE_DTM DATETIME   COMMENT  '판매일시'</v>
      </c>
    </row>
    <row r="11" spans="2:10" x14ac:dyDescent="0.4">
      <c r="B11" s="1" t="s">
        <v>98</v>
      </c>
      <c r="C11" s="1" t="s">
        <v>96</v>
      </c>
      <c r="D11" s="1" t="s">
        <v>17</v>
      </c>
      <c r="E11" s="1">
        <v>20</v>
      </c>
      <c r="F11" s="1"/>
      <c r="G11" s="1"/>
      <c r="H11" s="1"/>
      <c r="J11" t="str">
        <f>"    ,"&amp;B11&amp;" "&amp;D11&amp;" " &amp; IF(E11&lt;&gt;"","("&amp;E11&amp;") "," ") &amp; IF(F11="N","NOT NULL ","") &amp;" COMMENT "&amp;" '"&amp;C11&amp;"'"</f>
        <v xml:space="preserve">    ,QR_SALE_ID VARCHAR (20)  COMMENT  '판매 담당자'</v>
      </c>
    </row>
    <row r="12" spans="2:10" x14ac:dyDescent="0.4">
      <c r="B12" s="1" t="s">
        <v>100</v>
      </c>
      <c r="C12" s="1" t="s">
        <v>93</v>
      </c>
      <c r="D12" s="5" t="s">
        <v>70</v>
      </c>
      <c r="E12" s="5"/>
      <c r="F12" s="1"/>
      <c r="G12" s="1"/>
      <c r="H12" s="1"/>
      <c r="J12" t="str">
        <f t="shared" ref="J12" si="2">"    ,"&amp;B12&amp;" "&amp;D12&amp;" " &amp; IF(E12&lt;&gt;"","("&amp;E12&amp;") "," ") &amp; IF(F12="N","NOT NULL ","") &amp;" COMMENT "&amp;" '"&amp;C12&amp;"'"</f>
        <v xml:space="preserve">    ,QR_USE_DTM DATETIME   COMMENT  '사용등록 일시'</v>
      </c>
    </row>
    <row r="13" spans="2:10" x14ac:dyDescent="0.4">
      <c r="B13" s="1" t="s">
        <v>101</v>
      </c>
      <c r="C13" s="1" t="s">
        <v>99</v>
      </c>
      <c r="D13" s="1" t="s">
        <v>17</v>
      </c>
      <c r="E13" s="1">
        <v>20</v>
      </c>
      <c r="F13" s="1"/>
      <c r="G13" s="1"/>
      <c r="H13" s="1"/>
      <c r="J13" t="str">
        <f>"    ,"&amp;B13&amp;" "&amp;D13&amp;" " &amp; IF(E13&lt;&gt;"","("&amp;E13&amp;") "," ") &amp; IF(F13="N","NOT NULL ","") &amp;" COMMENT "&amp;" '"&amp;C13&amp;"'"</f>
        <v xml:space="preserve">    ,QR_USE_ID VARCHAR (20)  COMMENT  '사용등록  담당자'</v>
      </c>
    </row>
    <row r="14" spans="2:10" x14ac:dyDescent="0.4">
      <c r="B14" s="1" t="s">
        <v>11</v>
      </c>
      <c r="C14" s="1" t="s">
        <v>12</v>
      </c>
      <c r="D14" s="5" t="s">
        <v>70</v>
      </c>
      <c r="E14" s="5"/>
      <c r="F14" s="1" t="s">
        <v>30</v>
      </c>
      <c r="G14" s="1"/>
      <c r="H14" s="1"/>
      <c r="J14" t="str">
        <f>"    ,"&amp;B14&amp;" "&amp;D14&amp;" " &amp; IF(E14&lt;&gt;"","("&amp;E14&amp;") "," ") &amp; IF(F14="N","NOT NULL DEFAULT CURRENT_TIMESTAMP ","") &amp;" COMMENT "&amp;" '"&amp;C14&amp;"'"</f>
        <v xml:space="preserve">    ,CRE_DTM DATETIME  NOT NULL DEFAULT CURRENT_TIMESTAMP  COMMENT  '생성일시'</v>
      </c>
    </row>
    <row r="15" spans="2:10" x14ac:dyDescent="0.4">
      <c r="B15" s="1" t="s">
        <v>13</v>
      </c>
      <c r="C15" s="1" t="s">
        <v>14</v>
      </c>
      <c r="D15" s="5" t="s">
        <v>70</v>
      </c>
      <c r="E15" s="5"/>
      <c r="F15" s="1"/>
      <c r="G15" s="1"/>
      <c r="H15" s="1"/>
      <c r="J15" t="str">
        <f t="shared" si="0"/>
        <v xml:space="preserve">    ,CHG_DTM DATETIME   COMMENT  '변경일시'</v>
      </c>
    </row>
    <row r="16" spans="2:10" x14ac:dyDescent="0.4">
      <c r="J16" t="str">
        <f xml:space="preserve"> ", PRIMARY KEY (`"&amp;B6&amp;"`) )"</f>
        <v>, PRIMARY KEY (`PPR_QR_CD`) )</v>
      </c>
    </row>
    <row r="17" spans="3:10" x14ac:dyDescent="0.4">
      <c r="J17" t="str">
        <f xml:space="preserve"> "COMMENT = '" &amp;C3&amp; "';  "</f>
        <v xml:space="preserve">COMMENT = 'QR 판매 정보';  </v>
      </c>
    </row>
    <row r="19" spans="3:10" x14ac:dyDescent="0.4">
      <c r="C19" s="6"/>
    </row>
    <row r="20" spans="3:10" x14ac:dyDescent="0.4">
      <c r="C20" s="6"/>
    </row>
    <row r="21" spans="3:10" x14ac:dyDescent="0.4">
      <c r="C21" s="6"/>
    </row>
    <row r="22" spans="3:10" x14ac:dyDescent="0.4">
      <c r="C22" s="6"/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329F-D7F5-46E4-9D57-3A1335FB4038}">
  <dimension ref="B3:J15"/>
  <sheetViews>
    <sheetView topLeftCell="B1" workbookViewId="0">
      <selection activeCell="J10" sqref="J10"/>
    </sheetView>
  </sheetViews>
  <sheetFormatPr defaultRowHeight="17.399999999999999" x14ac:dyDescent="0.4"/>
  <cols>
    <col min="2" max="2" width="19.59765625" bestFit="1" customWidth="1"/>
    <col min="3" max="3" width="26.09765625" customWidth="1"/>
    <col min="4" max="4" width="9.296875" bestFit="1" customWidth="1"/>
    <col min="6" max="6" width="10.19921875" bestFit="1" customWidth="1"/>
    <col min="10" max="10" width="48.69921875" bestFit="1" customWidth="1"/>
  </cols>
  <sheetData>
    <row r="3" spans="2:10" x14ac:dyDescent="0.4">
      <c r="B3" s="1" t="str">
        <f>'테이블 리스트'!B9</f>
        <v>CRBN_QR_USE_INFO</v>
      </c>
      <c r="C3" s="7" t="str">
        <f>'테이블 리스트'!C9</f>
        <v>QR 사용등록(매핑) 이력</v>
      </c>
      <c r="D3" s="8"/>
      <c r="E3" s="8"/>
      <c r="F3" s="8"/>
      <c r="G3" s="8"/>
      <c r="H3" s="9"/>
      <c r="J3" t="str">
        <f>"CREATE TABLE " &amp; B3</f>
        <v>CREATE TABLE CRBN_QR_USE_INFO</v>
      </c>
    </row>
    <row r="4" spans="2:10" x14ac:dyDescent="0.4">
      <c r="B4" s="1" t="s">
        <v>1</v>
      </c>
      <c r="C4" s="2" t="s">
        <v>2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38</v>
      </c>
      <c r="J4" t="str">
        <f>"("</f>
        <v>(</v>
      </c>
    </row>
    <row r="5" spans="2:10" x14ac:dyDescent="0.4">
      <c r="B5" s="1" t="s">
        <v>45</v>
      </c>
      <c r="C5" s="1" t="s">
        <v>42</v>
      </c>
      <c r="D5" s="1" t="s">
        <v>17</v>
      </c>
      <c r="E5" s="1">
        <v>12</v>
      </c>
      <c r="F5" s="1" t="s">
        <v>30</v>
      </c>
      <c r="G5" s="1" t="s">
        <v>8</v>
      </c>
      <c r="H5" s="1"/>
      <c r="J5" t="str">
        <f>"    "&amp;B5&amp;" "&amp;D5&amp;" " &amp; IF(E5&lt;&gt;"","("&amp;E5&amp;") "," ") &amp; IF(F5="N","NOT NULL ","") &amp;" COMMENT "&amp;" '"&amp;C5&amp;"'"</f>
        <v xml:space="preserve">    PPR_QR_CD VARCHAR (12) NOT NULL  COMMENT  '종이 QR코드 '</v>
      </c>
    </row>
    <row r="6" spans="2:10" x14ac:dyDescent="0.4">
      <c r="B6" s="1" t="s">
        <v>64</v>
      </c>
      <c r="C6" s="2" t="s">
        <v>82</v>
      </c>
      <c r="D6" s="1" t="s">
        <v>17</v>
      </c>
      <c r="E6" s="1">
        <v>20</v>
      </c>
      <c r="F6" s="1" t="s">
        <v>30</v>
      </c>
      <c r="G6" s="1" t="s">
        <v>8</v>
      </c>
      <c r="H6" s="1"/>
      <c r="J6" t="str">
        <f>"    "&amp;B6&amp;" "&amp;D6&amp;" " &amp; IF(E6&lt;&gt;"","("&amp;E6&amp;") "," ") &amp; IF(F6="N","NOT NULL ","") &amp;" COMMENT "&amp;" '"&amp;C6&amp;"'"</f>
        <v xml:space="preserve">    STORE_ID VARCHAR (20) NOT NULL  COMMENT  '가맹점아이디'</v>
      </c>
    </row>
    <row r="7" spans="2:10" x14ac:dyDescent="0.4">
      <c r="B7" s="1" t="s">
        <v>7</v>
      </c>
      <c r="C7" s="2" t="s">
        <v>31</v>
      </c>
      <c r="D7" s="1" t="s">
        <v>17</v>
      </c>
      <c r="E7" s="1">
        <v>20</v>
      </c>
      <c r="F7" s="1" t="s">
        <v>30</v>
      </c>
      <c r="G7" s="1" t="s">
        <v>8</v>
      </c>
      <c r="H7" s="1"/>
      <c r="J7" t="str">
        <f>"    ,"&amp;B7&amp;" "&amp;D7&amp;" " &amp; IF(E7&lt;&gt;"","("&amp;E7&amp;") "," ") &amp; IF(F7="N","NOT NULL ","") &amp;" COMMENT "&amp;" '"&amp;C7&amp;"'"</f>
        <v xml:space="preserve">    ,MBR_ID VARCHAR (20) NOT NULL  COMMENT  '회원아이디'</v>
      </c>
    </row>
    <row r="8" spans="2:10" x14ac:dyDescent="0.4">
      <c r="B8" s="1" t="s">
        <v>11</v>
      </c>
      <c r="C8" s="1" t="s">
        <v>12</v>
      </c>
      <c r="D8" s="5" t="s">
        <v>70</v>
      </c>
      <c r="E8" s="5"/>
      <c r="F8" s="1" t="s">
        <v>30</v>
      </c>
      <c r="G8" s="1"/>
      <c r="H8" s="1"/>
      <c r="J8" t="str">
        <f>"    ,"&amp;B8&amp;" "&amp;D8&amp;" " &amp; IF(E8&lt;&gt;"","("&amp;E8&amp;") "," ") &amp; IF(F8="N","NOT NULL DEFAULT CURRENT_TIMESTAMP ","") &amp;" COMMENT "&amp;" '"&amp;C8&amp;"'"</f>
        <v xml:space="preserve">    ,CRE_DTM DATETIME  NOT NULL DEFAULT CURRENT_TIMESTAMP  COMMENT  '생성일시'</v>
      </c>
    </row>
    <row r="9" spans="2:10" x14ac:dyDescent="0.4">
      <c r="J9" t="str">
        <f xml:space="preserve"> ", PRIMARY KEY (`"&amp;B5&amp;","&amp;B6&amp;","&amp;B6&amp;"`) )"</f>
        <v>, PRIMARY KEY (`PPR_QR_CD,STORE_ID,STORE_ID`) )</v>
      </c>
    </row>
    <row r="10" spans="2:10" x14ac:dyDescent="0.4">
      <c r="J10" t="str">
        <f xml:space="preserve"> "COMMENT = '" &amp;C3&amp; "';  "</f>
        <v xml:space="preserve">COMMENT = 'QR 사용등록(매핑) 이력';  </v>
      </c>
    </row>
    <row r="12" spans="2:10" x14ac:dyDescent="0.4">
      <c r="C12" s="6"/>
    </row>
    <row r="13" spans="2:10" x14ac:dyDescent="0.4">
      <c r="C13" s="6"/>
    </row>
    <row r="14" spans="2:10" x14ac:dyDescent="0.4">
      <c r="C14" s="6"/>
    </row>
    <row r="15" spans="2:10" x14ac:dyDescent="0.4">
      <c r="C15" s="6"/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E1B6-394E-4900-9113-DE13769CC06A}">
  <dimension ref="B3:J11"/>
  <sheetViews>
    <sheetView tabSelected="1" workbookViewId="0">
      <selection activeCell="A5" sqref="A5:XFD5"/>
    </sheetView>
  </sheetViews>
  <sheetFormatPr defaultRowHeight="17.399999999999999" x14ac:dyDescent="0.4"/>
  <cols>
    <col min="2" max="2" width="18.19921875" bestFit="1" customWidth="1"/>
    <col min="3" max="3" width="26.09765625" customWidth="1"/>
    <col min="4" max="4" width="9.296875" bestFit="1" customWidth="1"/>
    <col min="6" max="6" width="10.19921875" bestFit="1" customWidth="1"/>
    <col min="10" max="10" width="48.69921875" bestFit="1" customWidth="1"/>
  </cols>
  <sheetData>
    <row r="3" spans="2:10" x14ac:dyDescent="0.4">
      <c r="B3" s="1" t="str">
        <f>'테이블 리스트'!B10</f>
        <v>CRBN_QR_USE_HST</v>
      </c>
      <c r="C3" s="7" t="str">
        <f>'테이블 리스트'!C10</f>
        <v>QR 사용이력</v>
      </c>
      <c r="D3" s="8"/>
      <c r="E3" s="8"/>
      <c r="F3" s="8"/>
      <c r="G3" s="8"/>
      <c r="H3" s="9"/>
      <c r="J3" t="str">
        <f>"CREATE TABLE " &amp; B3</f>
        <v>CREATE TABLE CRBN_QR_USE_HST</v>
      </c>
    </row>
    <row r="4" spans="2:10" x14ac:dyDescent="0.4">
      <c r="B4" s="1" t="s">
        <v>1</v>
      </c>
      <c r="C4" s="2" t="s">
        <v>2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38</v>
      </c>
      <c r="J4" t="str">
        <f>"("</f>
        <v>(</v>
      </c>
    </row>
    <row r="5" spans="2:10" x14ac:dyDescent="0.4">
      <c r="B5" s="1" t="s">
        <v>50</v>
      </c>
      <c r="C5" s="2" t="s">
        <v>49</v>
      </c>
      <c r="D5" s="1" t="s">
        <v>69</v>
      </c>
      <c r="E5" s="1"/>
      <c r="F5" s="1" t="s">
        <v>30</v>
      </c>
      <c r="G5" s="1" t="s">
        <v>8</v>
      </c>
      <c r="H5" s="1"/>
      <c r="J5" t="str">
        <f>"     " &amp;B5 &amp; " " &amp; D5 &amp; IF(E5&lt;&gt;"","("&amp;E5&amp;") "," ") &amp; IF(F5="N","NOT NULL ","")&amp;" primary key auto_increment  COMMENT " &amp; " '" &amp; C5 &amp; "'"</f>
        <v xml:space="preserve">     USE_SEQ int NOT NULL  primary key auto_increment  COMMENT  '순번'</v>
      </c>
    </row>
    <row r="6" spans="2:10" x14ac:dyDescent="0.4">
      <c r="B6" s="1" t="s">
        <v>102</v>
      </c>
      <c r="C6" s="1" t="s">
        <v>103</v>
      </c>
      <c r="D6" s="1" t="s">
        <v>17</v>
      </c>
      <c r="E6" s="1">
        <v>12</v>
      </c>
      <c r="F6" s="1"/>
      <c r="G6" s="1"/>
      <c r="H6" s="1"/>
    </row>
    <row r="7" spans="2:10" x14ac:dyDescent="0.4">
      <c r="B7" s="1" t="s">
        <v>7</v>
      </c>
      <c r="C7" s="2" t="s">
        <v>31</v>
      </c>
      <c r="D7" s="1" t="s">
        <v>17</v>
      </c>
      <c r="E7" s="1">
        <v>20</v>
      </c>
      <c r="F7" s="1" t="s">
        <v>30</v>
      </c>
      <c r="G7" s="1"/>
      <c r="H7" s="1"/>
      <c r="J7" t="str">
        <f t="shared" ref="J7:J9" si="0">"    ,"&amp;B7&amp;" "&amp;D7&amp;" " &amp; IF(E7&lt;&gt;"","("&amp;E7&amp;") "," ") &amp; IF(F7="N","NOT NULL ","") &amp;" COMMENT "&amp;" '"&amp;C7&amp;"'"</f>
        <v xml:space="preserve">    ,MBR_ID VARCHAR (20) NOT NULL  COMMENT  '회원아이디'</v>
      </c>
    </row>
    <row r="8" spans="2:10" x14ac:dyDescent="0.4">
      <c r="B8" s="1" t="s">
        <v>64</v>
      </c>
      <c r="C8" s="2" t="s">
        <v>82</v>
      </c>
      <c r="D8" s="1" t="s">
        <v>17</v>
      </c>
      <c r="E8" s="1">
        <v>20</v>
      </c>
      <c r="F8" s="1" t="s">
        <v>30</v>
      </c>
      <c r="G8" s="1"/>
      <c r="H8" s="1"/>
      <c r="J8" t="str">
        <f t="shared" si="0"/>
        <v xml:space="preserve">    ,STORE_ID VARCHAR (20) NOT NULL  COMMENT  '가맹점아이디'</v>
      </c>
    </row>
    <row r="9" spans="2:10" x14ac:dyDescent="0.4">
      <c r="B9" s="1" t="s">
        <v>52</v>
      </c>
      <c r="C9" s="1" t="s">
        <v>51</v>
      </c>
      <c r="D9" s="1" t="s">
        <v>17</v>
      </c>
      <c r="E9" s="1">
        <v>14</v>
      </c>
      <c r="F9" s="1" t="s">
        <v>30</v>
      </c>
      <c r="G9" s="1"/>
      <c r="H9" s="1"/>
      <c r="J9" t="str">
        <f t="shared" si="0"/>
        <v xml:space="preserve">    ,USE_DTM VARCHAR (14) NOT NULL  COMMENT  '사용일시'</v>
      </c>
    </row>
    <row r="10" spans="2:10" x14ac:dyDescent="0.4">
      <c r="J10" t="str">
        <f xml:space="preserve"> ", PRIMARY KEY (`"&amp;B5&amp;"`) )"</f>
        <v>, PRIMARY KEY (`USE_SEQ`) )</v>
      </c>
    </row>
    <row r="11" spans="2:10" x14ac:dyDescent="0.4">
      <c r="J11" t="str">
        <f xml:space="preserve"> "COMMENT = '" &amp;C3&amp; "';  "</f>
        <v xml:space="preserve">COMMENT = 'QR 사용이력';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테이블 리스트</vt:lpstr>
      <vt:lpstr>회원</vt:lpstr>
      <vt:lpstr>회원로그인이력</vt:lpstr>
      <vt:lpstr>가맹점</vt:lpstr>
      <vt:lpstr>가맹점로그인이력</vt:lpstr>
      <vt:lpstr>디지털 QR 정보</vt:lpstr>
      <vt:lpstr>종이 QR 정보</vt:lpstr>
      <vt:lpstr>추후  QR 판매 정보</vt:lpstr>
      <vt:lpstr>QR 사용등록(매핑) 이력</vt:lpstr>
      <vt:lpstr>QR 사용이력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Cheolwon Jeong</dc:creator>
  <cp:lastModifiedBy>Cheolwon Jeong</cp:lastModifiedBy>
  <dcterms:created xsi:type="dcterms:W3CDTF">2019-09-25T12:50:02Z</dcterms:created>
  <dcterms:modified xsi:type="dcterms:W3CDTF">2025-05-12T13:36:02Z</dcterms:modified>
</cp:coreProperties>
</file>