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myProject\Carbon(카본)\설계\"/>
    </mc:Choice>
  </mc:AlternateContent>
  <xr:revisionPtr revIDLastSave="0" documentId="13_ncr:1_{AB2A9E6D-E8A3-4A49-A870-4995FB0C5913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테이블 리스트" sheetId="1" r:id="rId1"/>
    <sheet name="기업(대리점, 스폰서)" sheetId="20" r:id="rId2"/>
    <sheet name="지방자치단체" sheetId="21" r:id="rId3"/>
    <sheet name="관리자 정보" sheetId="22" r:id="rId4"/>
    <sheet name="관리자로그인이력" sheetId="8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9" i="22" l="1"/>
  <c r="B3" i="22"/>
  <c r="J6" i="21"/>
  <c r="J10" i="21"/>
  <c r="J12" i="21"/>
  <c r="J10" i="8"/>
  <c r="C3" i="8"/>
  <c r="B3" i="8"/>
  <c r="J17" i="22"/>
  <c r="J13" i="21"/>
  <c r="J10" i="20"/>
  <c r="J14" i="22"/>
  <c r="J13" i="22"/>
  <c r="J12" i="22"/>
  <c r="J13" i="20" l="1"/>
  <c r="J14" i="20"/>
  <c r="J12" i="20"/>
  <c r="C3" i="22" l="1"/>
  <c r="J20" i="22" s="1"/>
  <c r="J3" i="22"/>
  <c r="J19" i="22"/>
  <c r="J18" i="22"/>
  <c r="J16" i="22"/>
  <c r="J15" i="22"/>
  <c r="J11" i="22"/>
  <c r="J10" i="22"/>
  <c r="J8" i="22"/>
  <c r="J7" i="22"/>
  <c r="J6" i="22"/>
  <c r="J5" i="22"/>
  <c r="J4" i="22"/>
  <c r="J9" i="21"/>
  <c r="J8" i="21"/>
  <c r="J11" i="21"/>
  <c r="C3" i="21"/>
  <c r="J16" i="21" s="1"/>
  <c r="B3" i="21"/>
  <c r="J3" i="21" s="1"/>
  <c r="C3" i="20"/>
  <c r="J15" i="20" s="1"/>
  <c r="B3" i="20"/>
  <c r="J3" i="20" s="1"/>
  <c r="J6" i="20"/>
  <c r="J5" i="20"/>
  <c r="J15" i="21"/>
  <c r="J14" i="21"/>
  <c r="J7" i="21"/>
  <c r="J5" i="21"/>
  <c r="J4" i="21"/>
  <c r="J11" i="20"/>
  <c r="J7" i="20"/>
  <c r="J9" i="20"/>
  <c r="J8" i="20"/>
  <c r="J4" i="20"/>
  <c r="J5" i="8" l="1"/>
  <c r="J6" i="8"/>
  <c r="J9" i="8"/>
  <c r="J8" i="8"/>
  <c r="J7" i="8"/>
  <c r="J11" i="8"/>
  <c r="J12" i="8"/>
  <c r="J4" i="8"/>
  <c r="J3" i="8"/>
</calcChain>
</file>

<file path=xl/sharedStrings.xml><?xml version="1.0" encoding="utf-8"?>
<sst xmlns="http://schemas.openxmlformats.org/spreadsheetml/2006/main" count="179" uniqueCount="83">
  <si>
    <t>비밀번호</t>
  </si>
  <si>
    <t>항목명</t>
    <phoneticPr fontId="1" type="noConversion"/>
  </si>
  <si>
    <t>코멘트</t>
    <phoneticPr fontId="1" type="noConversion"/>
  </si>
  <si>
    <t>타입</t>
    <phoneticPr fontId="1" type="noConversion"/>
  </si>
  <si>
    <t>길이</t>
    <phoneticPr fontId="1" type="noConversion"/>
  </si>
  <si>
    <t>PK</t>
    <phoneticPr fontId="1" type="noConversion"/>
  </si>
  <si>
    <t>NULL</t>
    <phoneticPr fontId="1" type="noConversion"/>
  </si>
  <si>
    <t>Y</t>
  </si>
  <si>
    <t>CRE_DTM</t>
  </si>
  <si>
    <t>생성일시</t>
  </si>
  <si>
    <t>CHG_DTM</t>
  </si>
  <si>
    <t>변경일시</t>
  </si>
  <si>
    <t>Y</t>
    <phoneticPr fontId="1" type="noConversion"/>
  </si>
  <si>
    <t>VARCHAR</t>
  </si>
  <si>
    <t>로그인순번</t>
    <phoneticPr fontId="1" type="noConversion"/>
  </si>
  <si>
    <t>아이피</t>
    <phoneticPr fontId="1" type="noConversion"/>
  </si>
  <si>
    <t>로그인일시</t>
    <phoneticPr fontId="1" type="noConversion"/>
  </si>
  <si>
    <t>OS</t>
    <phoneticPr fontId="1" type="noConversion"/>
  </si>
  <si>
    <t>브라우져</t>
    <phoneticPr fontId="1" type="noConversion"/>
  </si>
  <si>
    <t>LGN_IP</t>
    <phoneticPr fontId="1" type="noConversion"/>
  </si>
  <si>
    <t>LGN_OS</t>
    <phoneticPr fontId="1" type="noConversion"/>
  </si>
  <si>
    <t>LGN_BROWSER</t>
    <phoneticPr fontId="1" type="noConversion"/>
  </si>
  <si>
    <t>LST_LGN_DTM</t>
    <phoneticPr fontId="1" type="noConversion"/>
  </si>
  <si>
    <t>CHG_PWD_DTM</t>
    <phoneticPr fontId="1" type="noConversion"/>
  </si>
  <si>
    <t>LGN_SEQ</t>
    <phoneticPr fontId="1" type="noConversion"/>
  </si>
  <si>
    <t>N</t>
    <phoneticPr fontId="1" type="noConversion"/>
  </si>
  <si>
    <t>N</t>
    <phoneticPr fontId="1" type="noConversion"/>
  </si>
  <si>
    <t>휴대폰번호</t>
  </si>
  <si>
    <t>패스워드 변경일</t>
  </si>
  <si>
    <t>마지막 로그인 일시</t>
  </si>
  <si>
    <t>유니크</t>
    <phoneticPr fontId="1" type="noConversion"/>
  </si>
  <si>
    <t>CRBN</t>
    <phoneticPr fontId="1" type="noConversion"/>
  </si>
  <si>
    <t xml:space="preserve">이름 </t>
  </si>
  <si>
    <t>지방자치단체</t>
    <phoneticPr fontId="1" type="noConversion"/>
  </si>
  <si>
    <t>관리자 정보</t>
    <phoneticPr fontId="1" type="noConversion"/>
  </si>
  <si>
    <t>상호</t>
  </si>
  <si>
    <t>대표자 성명</t>
  </si>
  <si>
    <t>CRBN_GVRNMT_INFO</t>
    <phoneticPr fontId="1" type="noConversion"/>
  </si>
  <si>
    <t>AGENCY_CEO_NM</t>
  </si>
  <si>
    <t>사업자 등록번호</t>
    <phoneticPr fontId="1" type="noConversion"/>
  </si>
  <si>
    <t>BIS_NUM</t>
    <phoneticPr fontId="1" type="noConversion"/>
  </si>
  <si>
    <t>BIS_NM</t>
    <phoneticPr fontId="1" type="noConversion"/>
  </si>
  <si>
    <t>BIS_REP_NUM</t>
    <phoneticPr fontId="1" type="noConversion"/>
  </si>
  <si>
    <t>대표 번호</t>
    <phoneticPr fontId="1" type="noConversion"/>
  </si>
  <si>
    <t>CRBN_BIS_INFO</t>
    <phoneticPr fontId="1" type="noConversion"/>
  </si>
  <si>
    <t>기업(대리점, 스폰서)</t>
    <phoneticPr fontId="1" type="noConversion"/>
  </si>
  <si>
    <t>GVRNMT_NM</t>
    <phoneticPr fontId="1" type="noConversion"/>
  </si>
  <si>
    <t>GVRNMT_CI_IMG</t>
    <phoneticPr fontId="1" type="noConversion"/>
  </si>
  <si>
    <t>GVRNMT_ADM_HOME</t>
    <phoneticPr fontId="1" type="noConversion"/>
  </si>
  <si>
    <t>GVRNMT_SVC_IND</t>
    <phoneticPr fontId="1" type="noConversion"/>
  </si>
  <si>
    <t>소속코드</t>
    <phoneticPr fontId="1" type="noConversion"/>
  </si>
  <si>
    <t>소속 등급</t>
    <phoneticPr fontId="1" type="noConversion"/>
  </si>
  <si>
    <t>CRBN_ADM_INFO</t>
    <phoneticPr fontId="1" type="noConversion"/>
  </si>
  <si>
    <t>CRBN_ADM_LGN_HST</t>
    <phoneticPr fontId="1" type="noConversion"/>
  </si>
  <si>
    <t>CRBN_ADM_ID</t>
    <phoneticPr fontId="1" type="noConversion"/>
  </si>
  <si>
    <t>CRBN_ADM_PWD</t>
    <phoneticPr fontId="1" type="noConversion"/>
  </si>
  <si>
    <t>CRBN_ADM_CELL_NUM</t>
    <phoneticPr fontId="1" type="noConversion"/>
  </si>
  <si>
    <t>CRBN_ADM_NM</t>
    <phoneticPr fontId="1" type="noConversion"/>
  </si>
  <si>
    <t>INT</t>
    <phoneticPr fontId="1" type="noConversion"/>
  </si>
  <si>
    <t>DATETIME</t>
  </si>
  <si>
    <t>이메일</t>
    <phoneticPr fontId="1" type="noConversion"/>
  </si>
  <si>
    <t>담당부서</t>
    <phoneticPr fontId="1" type="noConversion"/>
  </si>
  <si>
    <t>직급</t>
    <phoneticPr fontId="1" type="noConversion"/>
  </si>
  <si>
    <t>CRBN_EMAIL</t>
    <phoneticPr fontId="1" type="noConversion"/>
  </si>
  <si>
    <t>CRBN_DEPT</t>
    <phoneticPr fontId="1" type="noConversion"/>
  </si>
  <si>
    <t>CRBN_PSTN</t>
    <phoneticPr fontId="1" type="noConversion"/>
  </si>
  <si>
    <t>관리자아이디</t>
    <phoneticPr fontId="1" type="noConversion"/>
  </si>
  <si>
    <t>CRE_DTM</t>
    <phoneticPr fontId="1" type="noConversion"/>
  </si>
  <si>
    <t>관리자 로그인 이력</t>
    <phoneticPr fontId="1" type="noConversion"/>
  </si>
  <si>
    <t>지방자치단체 명</t>
    <phoneticPr fontId="1" type="noConversion"/>
  </si>
  <si>
    <t>지방자치단체 CI 이미지경로</t>
    <phoneticPr fontId="1" type="noConversion"/>
  </si>
  <si>
    <t>지방자치단체 관리자홈피 명</t>
    <phoneticPr fontId="1" type="noConversion"/>
  </si>
  <si>
    <t>서비스 구분(Y:시작)</t>
    <phoneticPr fontId="1" type="noConversion"/>
  </si>
  <si>
    <t>서비스 시작일시</t>
    <phoneticPr fontId="1" type="noConversion"/>
  </si>
  <si>
    <t>GVRNMT_SVC_STRT_DTM</t>
    <phoneticPr fontId="1" type="noConversion"/>
  </si>
  <si>
    <t>GVRNMT_SVC_STOP_DTM</t>
    <phoneticPr fontId="1" type="noConversion"/>
  </si>
  <si>
    <t>서비스 종료일시</t>
    <phoneticPr fontId="1" type="noConversion"/>
  </si>
  <si>
    <t>생성</t>
    <phoneticPr fontId="1" type="noConversion"/>
  </si>
  <si>
    <t>PARTY_CD</t>
    <phoneticPr fontId="1" type="noConversion"/>
  </si>
  <si>
    <t>PARTY_GRADE</t>
    <phoneticPr fontId="1" type="noConversion"/>
  </si>
  <si>
    <t>GVRNMT_REP_NUM</t>
    <phoneticPr fontId="1" type="noConversion"/>
  </si>
  <si>
    <t>PARTY_GRP</t>
    <phoneticPr fontId="1" type="noConversion"/>
  </si>
  <si>
    <t>소속그룹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</si>
</sst>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3" xfId="0" applyBorder="1">
      <alignment vertical="center"/>
    </xf>
    <xf numFmtId="0" fontId="0" fillId="0" borderId="4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5"/>
  <sheetViews>
    <sheetView workbookViewId="0">
      <selection activeCell="B2" sqref="B2:C5"/>
    </sheetView>
  </sheetViews>
  <sheetFormatPr defaultRowHeight="17.399999999999999" x14ac:dyDescent="0.4"/>
  <cols>
    <col min="2" max="2" width="20.09765625" bestFit="1" customWidth="1"/>
    <col min="3" max="3" width="23.59765625" bestFit="1" customWidth="1"/>
  </cols>
  <sheetData>
    <row r="1" spans="2:4" x14ac:dyDescent="0.4">
      <c r="B1" t="s">
        <v>31</v>
      </c>
    </row>
    <row r="2" spans="2:4" x14ac:dyDescent="0.4">
      <c r="B2" s="3" t="s">
        <v>44</v>
      </c>
      <c r="C2" s="4" t="s">
        <v>45</v>
      </c>
      <c r="D2" t="s">
        <v>77</v>
      </c>
    </row>
    <row r="3" spans="2:4" x14ac:dyDescent="0.4">
      <c r="B3" s="3" t="s">
        <v>37</v>
      </c>
      <c r="C3" s="3" t="s">
        <v>33</v>
      </c>
      <c r="D3" t="s">
        <v>77</v>
      </c>
    </row>
    <row r="4" spans="2:4" x14ac:dyDescent="0.4">
      <c r="B4" s="3" t="s">
        <v>52</v>
      </c>
      <c r="C4" s="4" t="s">
        <v>34</v>
      </c>
      <c r="D4" t="s">
        <v>77</v>
      </c>
    </row>
    <row r="5" spans="2:4" x14ac:dyDescent="0.4">
      <c r="B5" s="3" t="s">
        <v>53</v>
      </c>
      <c r="C5" s="4" t="s">
        <v>68</v>
      </c>
      <c r="D5" t="s">
        <v>77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CED63-239A-4EC2-97C5-76270EFCCA6E}">
  <dimension ref="B3:J15"/>
  <sheetViews>
    <sheetView topLeftCell="B1" workbookViewId="0">
      <selection activeCell="J3" sqref="J3:J15"/>
    </sheetView>
  </sheetViews>
  <sheetFormatPr defaultRowHeight="17.399999999999999" x14ac:dyDescent="0.4"/>
  <cols>
    <col min="2" max="2" width="19.59765625" bestFit="1" customWidth="1"/>
    <col min="3" max="3" width="28.09765625" bestFit="1" customWidth="1"/>
    <col min="4" max="4" width="9.296875" bestFit="1" customWidth="1"/>
    <col min="6" max="6" width="10.19921875" bestFit="1" customWidth="1"/>
    <col min="10" max="10" width="48.69921875" bestFit="1" customWidth="1"/>
  </cols>
  <sheetData>
    <row r="3" spans="2:10" x14ac:dyDescent="0.4">
      <c r="B3" s="1" t="str">
        <f>'테이블 리스트'!B2</f>
        <v>CRBN_BIS_INFO</v>
      </c>
      <c r="C3" s="6" t="str">
        <f>'테이블 리스트'!C2</f>
        <v>기업(대리점, 스폰서)</v>
      </c>
      <c r="D3" s="7"/>
      <c r="E3" s="7"/>
      <c r="F3" s="7"/>
      <c r="G3" s="7"/>
      <c r="H3" s="8"/>
      <c r="J3" t="str">
        <f>"CREATE TABLE " &amp; B3</f>
        <v>CREATE TABLE CRBN_BIS_INFO</v>
      </c>
    </row>
    <row r="4" spans="2:10" x14ac:dyDescent="0.4">
      <c r="B4" s="1" t="s">
        <v>1</v>
      </c>
      <c r="C4" s="2" t="s">
        <v>2</v>
      </c>
      <c r="D4" s="1" t="s">
        <v>3</v>
      </c>
      <c r="E4" s="1" t="s">
        <v>4</v>
      </c>
      <c r="F4" s="1" t="s">
        <v>6</v>
      </c>
      <c r="G4" s="1" t="s">
        <v>5</v>
      </c>
      <c r="H4" s="1" t="s">
        <v>30</v>
      </c>
      <c r="J4" t="str">
        <f>"("</f>
        <v>(</v>
      </c>
    </row>
    <row r="5" spans="2:10" x14ac:dyDescent="0.4">
      <c r="B5" t="s">
        <v>78</v>
      </c>
      <c r="C5" s="2" t="s">
        <v>50</v>
      </c>
      <c r="D5" s="1" t="s">
        <v>13</v>
      </c>
      <c r="E5" s="1">
        <v>20</v>
      </c>
      <c r="F5" s="1" t="s">
        <v>25</v>
      </c>
      <c r="G5" s="1" t="s">
        <v>7</v>
      </c>
      <c r="H5" s="1" t="s">
        <v>12</v>
      </c>
      <c r="J5" t="str">
        <f>"    "&amp;B5&amp;" "&amp;D5&amp;" " &amp; IF(E5&lt;&gt;"","("&amp;E5&amp;") "," ") &amp; IF(F5="N","NOT NULL ","") &amp;" COMMENT "&amp;" '"&amp;C5&amp;"'"</f>
        <v xml:space="preserve">    PARTY_CD VARCHAR (20) NOT NULL  COMMENT  '소속코드'</v>
      </c>
    </row>
    <row r="6" spans="2:10" x14ac:dyDescent="0.4">
      <c r="B6" s="1" t="s">
        <v>40</v>
      </c>
      <c r="C6" s="2" t="s">
        <v>39</v>
      </c>
      <c r="D6" s="1" t="s">
        <v>13</v>
      </c>
      <c r="E6" s="1">
        <v>10</v>
      </c>
      <c r="F6" s="1"/>
      <c r="G6" s="1"/>
      <c r="H6" s="1" t="s">
        <v>12</v>
      </c>
      <c r="J6" t="str">
        <f>"    ,"&amp;B6&amp;" "&amp;D6&amp;" " &amp; IF(E6&lt;&gt;"","("&amp;E6&amp;") "," ") &amp; IF(F6="N","NOT NULL ","") &amp;" COMMENT "&amp;" '"&amp;C6&amp;"'"</f>
        <v xml:space="preserve">    ,BIS_NUM VARCHAR (10)  COMMENT  '사업자 등록번호'</v>
      </c>
    </row>
    <row r="7" spans="2:10" x14ac:dyDescent="0.4">
      <c r="B7" s="1" t="s">
        <v>41</v>
      </c>
      <c r="C7" s="1" t="s">
        <v>35</v>
      </c>
      <c r="D7" s="1" t="s">
        <v>13</v>
      </c>
      <c r="E7" s="1">
        <v>100</v>
      </c>
      <c r="F7" s="1"/>
      <c r="G7" s="1"/>
      <c r="H7" s="1"/>
      <c r="J7" t="str">
        <f>"    ,"&amp;B7&amp;" "&amp;D7&amp;" " &amp; IF(E7&lt;&gt;"","("&amp;E7&amp;") "," ") &amp; IF(F7="N","NOT NULL ","") &amp;" COMMENT "&amp;" '"&amp;C7&amp;"'"</f>
        <v xml:space="preserve">    ,BIS_NM VARCHAR (100)  COMMENT  '상호'</v>
      </c>
    </row>
    <row r="8" spans="2:10" x14ac:dyDescent="0.4">
      <c r="B8" s="1" t="s">
        <v>42</v>
      </c>
      <c r="C8" s="1" t="s">
        <v>43</v>
      </c>
      <c r="D8" s="1" t="s">
        <v>13</v>
      </c>
      <c r="E8" s="1">
        <v>20</v>
      </c>
      <c r="F8" s="1"/>
      <c r="G8" s="1"/>
      <c r="H8" s="1"/>
      <c r="J8" t="str">
        <f t="shared" ref="J8:J11" si="0">"    ,"&amp;B8&amp;" "&amp;D8&amp;" " &amp; IF(E8&lt;&gt;"","("&amp;E8&amp;") "," ") &amp; IF(F8="N","NOT NULL ","") &amp;" COMMENT "&amp;" '"&amp;C8&amp;"'"</f>
        <v xml:space="preserve">    ,BIS_REP_NUM VARCHAR (20)  COMMENT  '대표 번호'</v>
      </c>
    </row>
    <row r="9" spans="2:10" x14ac:dyDescent="0.4">
      <c r="B9" s="1" t="s">
        <v>38</v>
      </c>
      <c r="C9" s="1" t="s">
        <v>36</v>
      </c>
      <c r="D9" s="1" t="s">
        <v>13</v>
      </c>
      <c r="E9" s="1">
        <v>80</v>
      </c>
      <c r="F9" s="1"/>
      <c r="G9" s="1"/>
      <c r="H9" s="1"/>
      <c r="J9" t="str">
        <f t="shared" si="0"/>
        <v xml:space="preserve">    ,AGENCY_CEO_NM VARCHAR (80)  COMMENT  '대표자 성명'</v>
      </c>
    </row>
    <row r="10" spans="2:10" x14ac:dyDescent="0.4">
      <c r="B10" s="1" t="s">
        <v>8</v>
      </c>
      <c r="C10" s="1" t="s">
        <v>9</v>
      </c>
      <c r="D10" s="5" t="s">
        <v>59</v>
      </c>
      <c r="E10" s="5"/>
      <c r="F10" s="1" t="s">
        <v>25</v>
      </c>
      <c r="G10" s="1"/>
      <c r="H10" s="1"/>
      <c r="J10" t="str">
        <f>"    ,"&amp;B10&amp;" "&amp;D10&amp;" " &amp; IF(E10&lt;&gt;"","("&amp;E10&amp;") "," ") &amp; IF(F10="N","NOT NULL DEFAULT CURRENT_TIMESTAMP ","") &amp;" COMMENT "&amp;" '"&amp;C10&amp;"'"</f>
        <v xml:space="preserve">    ,CRE_DTM DATETIME  NOT NULL DEFAULT CURRENT_TIMESTAMP  COMMENT  '생성일시'</v>
      </c>
    </row>
    <row r="11" spans="2:10" x14ac:dyDescent="0.4">
      <c r="B11" s="1" t="s">
        <v>10</v>
      </c>
      <c r="C11" s="1" t="s">
        <v>11</v>
      </c>
      <c r="D11" s="5" t="s">
        <v>59</v>
      </c>
      <c r="E11" s="5"/>
      <c r="F11" s="1"/>
      <c r="G11" s="1"/>
      <c r="H11" s="1"/>
      <c r="J11" t="str">
        <f t="shared" si="0"/>
        <v xml:space="preserve">    ,CHG_DTM DATETIME   COMMENT  '변경일시'</v>
      </c>
    </row>
    <row r="12" spans="2:10" x14ac:dyDescent="0.4">
      <c r="J12" t="str">
        <f xml:space="preserve"> ", PRIMARY KEY (`"&amp;B5&amp;"`) "</f>
        <v xml:space="preserve">, PRIMARY KEY (`PARTY_CD`) </v>
      </c>
    </row>
    <row r="13" spans="2:10" x14ac:dyDescent="0.4">
      <c r="J13" t="str">
        <f xml:space="preserve"> ", UNIQUE KEY "&amp;B6&amp;"(`"&amp;B6&amp;"`) "</f>
        <v xml:space="preserve">, UNIQUE KEY BIS_NUM(`BIS_NUM`) </v>
      </c>
    </row>
    <row r="14" spans="2:10" x14ac:dyDescent="0.4">
      <c r="J14" t="str">
        <f xml:space="preserve"> ") "</f>
        <v xml:space="preserve">) </v>
      </c>
    </row>
    <row r="15" spans="2:10" x14ac:dyDescent="0.4">
      <c r="J15" t="str">
        <f xml:space="preserve"> "COMMENT = '" &amp;C3&amp; "';  "</f>
        <v xml:space="preserve">COMMENT = '기업(대리점, 스폰서)';  </v>
      </c>
    </row>
  </sheetData>
  <mergeCells count="1">
    <mergeCell ref="C3:H3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FFBE1-A6DA-4A60-96EE-E85F9B671980}">
  <dimension ref="B3:J16"/>
  <sheetViews>
    <sheetView workbookViewId="0">
      <selection activeCell="B3" sqref="B3"/>
    </sheetView>
  </sheetViews>
  <sheetFormatPr defaultRowHeight="17.399999999999999" x14ac:dyDescent="0.4"/>
  <cols>
    <col min="2" max="2" width="24.09765625" bestFit="1" customWidth="1"/>
    <col min="3" max="3" width="28.09765625" bestFit="1" customWidth="1"/>
    <col min="4" max="4" width="9.296875" bestFit="1" customWidth="1"/>
    <col min="6" max="6" width="10.19921875" bestFit="1" customWidth="1"/>
    <col min="10" max="10" width="48.69921875" bestFit="1" customWidth="1"/>
  </cols>
  <sheetData>
    <row r="3" spans="2:10" x14ac:dyDescent="0.4">
      <c r="B3" s="1" t="str">
        <f>'테이블 리스트'!B3</f>
        <v>CRBN_GVRNMT_INFO</v>
      </c>
      <c r="C3" s="6" t="str">
        <f>'테이블 리스트'!C3</f>
        <v>지방자치단체</v>
      </c>
      <c r="D3" s="7"/>
      <c r="E3" s="7"/>
      <c r="F3" s="7"/>
      <c r="G3" s="7"/>
      <c r="H3" s="8"/>
      <c r="J3" t="str">
        <f>"CREATE TABLE " &amp; B3</f>
        <v>CREATE TABLE CRBN_GVRNMT_INFO</v>
      </c>
    </row>
    <row r="4" spans="2:10" x14ac:dyDescent="0.4">
      <c r="B4" s="1" t="s">
        <v>1</v>
      </c>
      <c r="C4" s="2" t="s">
        <v>2</v>
      </c>
      <c r="D4" s="1" t="s">
        <v>3</v>
      </c>
      <c r="E4" s="1" t="s">
        <v>4</v>
      </c>
      <c r="F4" s="1" t="s">
        <v>6</v>
      </c>
      <c r="G4" s="1" t="s">
        <v>5</v>
      </c>
      <c r="H4" s="1" t="s">
        <v>30</v>
      </c>
      <c r="J4" t="str">
        <f>"("</f>
        <v>(</v>
      </c>
    </row>
    <row r="5" spans="2:10" x14ac:dyDescent="0.4">
      <c r="B5" t="s">
        <v>78</v>
      </c>
      <c r="C5" s="2" t="s">
        <v>50</v>
      </c>
      <c r="D5" s="1" t="s">
        <v>13</v>
      </c>
      <c r="E5" s="1">
        <v>20</v>
      </c>
      <c r="F5" s="1" t="s">
        <v>25</v>
      </c>
      <c r="G5" s="1"/>
      <c r="H5" s="1" t="s">
        <v>12</v>
      </c>
      <c r="J5" t="str">
        <f>"    "&amp;B5&amp;" "&amp;D5&amp;" " &amp; IF(E5&lt;&gt;"","("&amp;E5&amp;") "," ") &amp; IF(F5="N","NOT NULL ","") &amp;" COMMENT "&amp;" '"&amp;C5&amp;"'"</f>
        <v xml:space="preserve">    PARTY_CD VARCHAR (20) NOT NULL  COMMENT  '소속코드'</v>
      </c>
    </row>
    <row r="6" spans="2:10" x14ac:dyDescent="0.4">
      <c r="B6" s="1" t="s">
        <v>80</v>
      </c>
      <c r="C6" s="1" t="s">
        <v>43</v>
      </c>
      <c r="D6" s="1" t="s">
        <v>13</v>
      </c>
      <c r="E6" s="1">
        <v>20</v>
      </c>
      <c r="F6" s="1"/>
      <c r="G6" s="1"/>
      <c r="H6" s="1"/>
      <c r="J6" t="str">
        <f t="shared" ref="J6" si="0">"    ,"&amp;B6&amp;" "&amp;D6&amp;" " &amp; IF(E6&lt;&gt;"","("&amp;E6&amp;") "," ") &amp; IF(F6="N","NOT NULL ","") &amp;" COMMENT "&amp;" '"&amp;C6&amp;"'"</f>
        <v xml:space="preserve">    ,GVRNMT_REP_NUM VARCHAR (20)  COMMENT  '대표 번호'</v>
      </c>
    </row>
    <row r="7" spans="2:10" x14ac:dyDescent="0.4">
      <c r="B7" s="1" t="s">
        <v>46</v>
      </c>
      <c r="C7" s="2" t="s">
        <v>69</v>
      </c>
      <c r="D7" s="1" t="s">
        <v>13</v>
      </c>
      <c r="E7" s="1">
        <v>80</v>
      </c>
      <c r="F7" s="1" t="s">
        <v>25</v>
      </c>
      <c r="G7" s="1"/>
      <c r="H7" s="1"/>
      <c r="J7" t="str">
        <f t="shared" ref="J7:J14" si="1">"    ,"&amp;B7&amp;" "&amp;D7&amp;" " &amp; IF(E7&lt;&gt;"","("&amp;E7&amp;") "," ") &amp; IF(F7="N","NOT NULL ","") &amp;" COMMENT "&amp;" '"&amp;C7&amp;"'"</f>
        <v xml:space="preserve">    ,GVRNMT_NM VARCHAR (80) NOT NULL  COMMENT  '지방자치단체 명'</v>
      </c>
    </row>
    <row r="8" spans="2:10" x14ac:dyDescent="0.4">
      <c r="B8" s="1" t="s">
        <v>47</v>
      </c>
      <c r="C8" s="1" t="s">
        <v>70</v>
      </c>
      <c r="D8" s="1" t="s">
        <v>13</v>
      </c>
      <c r="E8" s="1">
        <v>100</v>
      </c>
      <c r="F8" s="1" t="s">
        <v>25</v>
      </c>
      <c r="G8" s="1"/>
      <c r="H8" s="1"/>
      <c r="J8" t="str">
        <f t="shared" si="1"/>
        <v xml:space="preserve">    ,GVRNMT_CI_IMG VARCHAR (100) NOT NULL  COMMENT  '지방자치단체 CI 이미지경로'</v>
      </c>
    </row>
    <row r="9" spans="2:10" x14ac:dyDescent="0.4">
      <c r="B9" s="1" t="s">
        <v>48</v>
      </c>
      <c r="C9" s="1" t="s">
        <v>71</v>
      </c>
      <c r="D9" s="1" t="s">
        <v>13</v>
      </c>
      <c r="E9" s="1">
        <v>100</v>
      </c>
      <c r="F9" s="1" t="s">
        <v>25</v>
      </c>
      <c r="G9" s="1"/>
      <c r="H9" s="1"/>
      <c r="J9" t="str">
        <f t="shared" si="1"/>
        <v xml:space="preserve">    ,GVRNMT_ADM_HOME VARCHAR (100) NOT NULL  COMMENT  '지방자치단체 관리자홈피 명'</v>
      </c>
    </row>
    <row r="10" spans="2:10" x14ac:dyDescent="0.4">
      <c r="B10" s="1" t="s">
        <v>49</v>
      </c>
      <c r="C10" s="1" t="s">
        <v>72</v>
      </c>
      <c r="D10" s="1" t="s">
        <v>13</v>
      </c>
      <c r="E10" s="1">
        <v>1</v>
      </c>
      <c r="F10" s="1" t="s">
        <v>25</v>
      </c>
      <c r="G10" s="1"/>
      <c r="H10" s="1"/>
      <c r="J10" t="str">
        <f>"    ,"&amp;B10&amp;" "&amp;D10&amp;" " &amp; IF(E10&lt;&gt;"","("&amp;E10&amp;") "," ") &amp; IF(F10="N","NOT NULL DEFAULT 'N' ","") &amp;" COMMENT "&amp;" '"&amp;C10&amp;"'"</f>
        <v xml:space="preserve">    ,GVRNMT_SVC_IND VARCHAR (1) NOT NULL DEFAULT 'N'  COMMENT  '서비스 구분(Y:시작)'</v>
      </c>
    </row>
    <row r="11" spans="2:10" x14ac:dyDescent="0.4">
      <c r="B11" s="1" t="s">
        <v>74</v>
      </c>
      <c r="C11" s="1" t="s">
        <v>73</v>
      </c>
      <c r="D11" s="1" t="s">
        <v>13</v>
      </c>
      <c r="E11" s="1">
        <v>14</v>
      </c>
      <c r="F11" s="1"/>
      <c r="G11" s="1"/>
      <c r="H11" s="1"/>
      <c r="J11" t="str">
        <f t="shared" ref="J11" si="2">"    ,"&amp;B11&amp;" "&amp;D11&amp;" " &amp; IF(E11&lt;&gt;"","("&amp;E11&amp;") "," ") &amp; IF(F11="N","NOT NULL ","") &amp;" COMMENT "&amp;" '"&amp;C11&amp;"'"</f>
        <v xml:space="preserve">    ,GVRNMT_SVC_STRT_DTM VARCHAR (14)  COMMENT  '서비스 시작일시'</v>
      </c>
    </row>
    <row r="12" spans="2:10" x14ac:dyDescent="0.4">
      <c r="B12" s="1" t="s">
        <v>75</v>
      </c>
      <c r="C12" s="1" t="s">
        <v>76</v>
      </c>
      <c r="D12" s="1" t="s">
        <v>13</v>
      </c>
      <c r="E12" s="1">
        <v>14</v>
      </c>
      <c r="F12" s="1"/>
      <c r="G12" s="1"/>
      <c r="H12" s="1"/>
      <c r="J12" t="str">
        <f t="shared" ref="J12" si="3">"    ,"&amp;B12&amp;" "&amp;D12&amp;" " &amp; IF(E12&lt;&gt;"","("&amp;E12&amp;") "," ") &amp; IF(F12="N","NOT NULL ","") &amp;" COMMENT "&amp;" '"&amp;C12&amp;"'"</f>
        <v xml:space="preserve">    ,GVRNMT_SVC_STOP_DTM VARCHAR (14)  COMMENT  '서비스 종료일시'</v>
      </c>
    </row>
    <row r="13" spans="2:10" x14ac:dyDescent="0.4">
      <c r="B13" s="1" t="s">
        <v>8</v>
      </c>
      <c r="C13" s="1" t="s">
        <v>9</v>
      </c>
      <c r="D13" s="5" t="s">
        <v>59</v>
      </c>
      <c r="E13" s="5"/>
      <c r="F13" s="1" t="s">
        <v>25</v>
      </c>
      <c r="G13" s="1"/>
      <c r="H13" s="1"/>
      <c r="J13" t="str">
        <f>"    ,"&amp;B13&amp;" "&amp;D13&amp;" " &amp; IF(E13&lt;&gt;"","("&amp;E13&amp;") "," ") &amp; IF(F13="N","NOT NULL DEFAULT CURRENT_TIMESTAMP ","") &amp;" COMMENT "&amp;" '"&amp;C13&amp;"'"</f>
        <v xml:space="preserve">    ,CRE_DTM DATETIME  NOT NULL DEFAULT CURRENT_TIMESTAMP  COMMENT  '생성일시'</v>
      </c>
    </row>
    <row r="14" spans="2:10" x14ac:dyDescent="0.4">
      <c r="B14" s="1" t="s">
        <v>10</v>
      </c>
      <c r="C14" s="1" t="s">
        <v>11</v>
      </c>
      <c r="D14" s="5" t="s">
        <v>59</v>
      </c>
      <c r="E14" s="5"/>
      <c r="F14" s="1"/>
      <c r="G14" s="1"/>
      <c r="H14" s="1"/>
      <c r="J14" t="str">
        <f t="shared" si="1"/>
        <v xml:space="preserve">    ,CHG_DTM DATETIME   COMMENT  '변경일시'</v>
      </c>
    </row>
    <row r="15" spans="2:10" x14ac:dyDescent="0.4">
      <c r="J15" t="str">
        <f xml:space="preserve"> ", PRIMARY KEY (`"&amp;B5&amp;"`) )"</f>
        <v>, PRIMARY KEY (`PARTY_CD`) )</v>
      </c>
    </row>
    <row r="16" spans="2:10" x14ac:dyDescent="0.4">
      <c r="J16" t="str">
        <f xml:space="preserve"> "COMMENT = '" &amp;C3&amp; "';  "</f>
        <v xml:space="preserve">COMMENT = '지방자치단체';  </v>
      </c>
    </row>
  </sheetData>
  <mergeCells count="1">
    <mergeCell ref="C3:H3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92625-9016-413D-B06E-E8ACC3E87A86}">
  <dimension ref="B3:J20"/>
  <sheetViews>
    <sheetView tabSelected="1" topLeftCell="B1" workbookViewId="0">
      <selection activeCell="J3" sqref="J3:J20"/>
    </sheetView>
  </sheetViews>
  <sheetFormatPr defaultRowHeight="17.399999999999999" x14ac:dyDescent="0.4"/>
  <cols>
    <col min="2" max="2" width="21.8984375" bestFit="1" customWidth="1"/>
    <col min="3" max="3" width="26.09765625" customWidth="1"/>
    <col min="4" max="4" width="9.296875" bestFit="1" customWidth="1"/>
    <col min="6" max="6" width="10.19921875" bestFit="1" customWidth="1"/>
    <col min="10" max="10" width="48.69921875" bestFit="1" customWidth="1"/>
  </cols>
  <sheetData>
    <row r="3" spans="2:10" x14ac:dyDescent="0.4">
      <c r="B3" s="1" t="str">
        <f>'테이블 리스트'!B4</f>
        <v>CRBN_ADM_INFO</v>
      </c>
      <c r="C3" s="6" t="str">
        <f>'테이블 리스트'!C4</f>
        <v>관리자 정보</v>
      </c>
      <c r="D3" s="7"/>
      <c r="E3" s="7"/>
      <c r="F3" s="7"/>
      <c r="G3" s="7"/>
      <c r="H3" s="8"/>
      <c r="J3" t="str">
        <f>"CREATE TABLE " &amp; B3</f>
        <v>CREATE TABLE CRBN_ADM_INFO</v>
      </c>
    </row>
    <row r="4" spans="2:10" x14ac:dyDescent="0.4">
      <c r="B4" s="1" t="s">
        <v>1</v>
      </c>
      <c r="C4" s="2" t="s">
        <v>2</v>
      </c>
      <c r="D4" s="1" t="s">
        <v>3</v>
      </c>
      <c r="E4" s="1" t="s">
        <v>4</v>
      </c>
      <c r="F4" s="1" t="s">
        <v>6</v>
      </c>
      <c r="G4" s="1" t="s">
        <v>5</v>
      </c>
      <c r="H4" s="1" t="s">
        <v>30</v>
      </c>
      <c r="J4" t="str">
        <f>"("</f>
        <v>(</v>
      </c>
    </row>
    <row r="5" spans="2:10" x14ac:dyDescent="0.4">
      <c r="B5" s="1" t="s">
        <v>54</v>
      </c>
      <c r="C5" s="2" t="s">
        <v>66</v>
      </c>
      <c r="D5" s="1" t="s">
        <v>13</v>
      </c>
      <c r="E5" s="1">
        <v>20</v>
      </c>
      <c r="F5" s="1" t="s">
        <v>25</v>
      </c>
      <c r="G5" s="1" t="s">
        <v>7</v>
      </c>
      <c r="H5" s="1" t="s">
        <v>12</v>
      </c>
      <c r="J5" t="str">
        <f>"    "&amp;B5&amp;" "&amp;D5&amp;" " &amp; IF(E5&lt;&gt;"","("&amp;E5&amp;") "," ") &amp; IF(F5="N","NOT NULL ","") &amp;" COMMENT "&amp;" '"&amp;C5&amp;"'"</f>
        <v xml:space="preserve">    CRBN_ADM_ID VARCHAR (20) NOT NULL  COMMENT  '관리자아이디'</v>
      </c>
    </row>
    <row r="6" spans="2:10" x14ac:dyDescent="0.4">
      <c r="B6" s="1" t="s">
        <v>55</v>
      </c>
      <c r="C6" s="1" t="s">
        <v>0</v>
      </c>
      <c r="D6" s="1" t="s">
        <v>13</v>
      </c>
      <c r="E6" s="1">
        <v>100</v>
      </c>
      <c r="F6" s="1" t="s">
        <v>25</v>
      </c>
      <c r="G6" s="1"/>
      <c r="H6" s="1"/>
      <c r="J6" t="str">
        <f t="shared" ref="J6:J18" si="0">"    ,"&amp;B6&amp;" "&amp;D6&amp;" " &amp; IF(E6&lt;&gt;"","("&amp;E6&amp;") "," ") &amp; IF(F6="N","NOT NULL ","") &amp;" COMMENT "&amp;" '"&amp;C6&amp;"'"</f>
        <v xml:space="preserve">    ,CRBN_ADM_PWD VARCHAR (100) NOT NULL  COMMENT  '비밀번호'</v>
      </c>
    </row>
    <row r="7" spans="2:10" x14ac:dyDescent="0.4">
      <c r="B7" s="1" t="s">
        <v>56</v>
      </c>
      <c r="C7" s="1" t="s">
        <v>27</v>
      </c>
      <c r="D7" s="1" t="s">
        <v>13</v>
      </c>
      <c r="E7" s="1">
        <v>11</v>
      </c>
      <c r="F7" s="1" t="s">
        <v>25</v>
      </c>
      <c r="G7" s="1"/>
      <c r="H7" s="1"/>
      <c r="J7" t="str">
        <f t="shared" si="0"/>
        <v xml:space="preserve">    ,CRBN_ADM_CELL_NUM VARCHAR (11) NOT NULL  COMMENT  '휴대폰번호'</v>
      </c>
    </row>
    <row r="8" spans="2:10" x14ac:dyDescent="0.4">
      <c r="B8" s="1" t="s">
        <v>57</v>
      </c>
      <c r="C8" s="1" t="s">
        <v>32</v>
      </c>
      <c r="D8" s="1" t="s">
        <v>13</v>
      </c>
      <c r="E8" s="1">
        <v>80</v>
      </c>
      <c r="F8" s="1" t="s">
        <v>25</v>
      </c>
      <c r="G8" s="1"/>
      <c r="H8" s="1"/>
      <c r="J8" t="str">
        <f t="shared" si="0"/>
        <v xml:space="preserve">    ,CRBN_ADM_NM VARCHAR (80) NOT NULL  COMMENT  '이름 '</v>
      </c>
    </row>
    <row r="9" spans="2:10" x14ac:dyDescent="0.4">
      <c r="B9" t="s">
        <v>81</v>
      </c>
      <c r="C9" s="2" t="s">
        <v>82</v>
      </c>
      <c r="D9" s="1" t="s">
        <v>13</v>
      </c>
      <c r="E9" s="1">
        <v>20</v>
      </c>
      <c r="F9" s="1" t="s">
        <v>25</v>
      </c>
      <c r="G9" s="1"/>
      <c r="H9" s="1"/>
      <c r="J9" t="str">
        <f t="shared" ref="J9" si="1">"    ,"&amp;B9&amp;" "&amp;D9&amp;" " &amp; IF(E9&lt;&gt;"","("&amp;E9&amp;") "," ") &amp; IF(F9="N","NOT NULL ","") &amp;" COMMENT "&amp;" '"&amp;C9&amp;"'"</f>
        <v xml:space="preserve">    ,PARTY_GRP VARCHAR (20) NOT NULL  COMMENT  '소속그룹'</v>
      </c>
    </row>
    <row r="10" spans="2:10" x14ac:dyDescent="0.4">
      <c r="B10" t="s">
        <v>78</v>
      </c>
      <c r="C10" s="2" t="s">
        <v>50</v>
      </c>
      <c r="D10" s="1" t="s">
        <v>13</v>
      </c>
      <c r="E10" s="1">
        <v>20</v>
      </c>
      <c r="F10" s="1" t="s">
        <v>25</v>
      </c>
      <c r="G10" s="1"/>
      <c r="H10" s="1"/>
      <c r="J10" t="str">
        <f t="shared" si="0"/>
        <v xml:space="preserve">    ,PARTY_CD VARCHAR (20) NOT NULL  COMMENT  '소속코드'</v>
      </c>
    </row>
    <row r="11" spans="2:10" x14ac:dyDescent="0.4">
      <c r="B11" s="1" t="s">
        <v>79</v>
      </c>
      <c r="C11" s="1" t="s">
        <v>51</v>
      </c>
      <c r="D11" s="1" t="s">
        <v>13</v>
      </c>
      <c r="E11" s="1">
        <v>1</v>
      </c>
      <c r="F11" s="1"/>
      <c r="G11" s="1"/>
      <c r="H11" s="1"/>
      <c r="J11" t="str">
        <f t="shared" si="0"/>
        <v xml:space="preserve">    ,PARTY_GRADE VARCHAR (1)  COMMENT  '소속 등급'</v>
      </c>
    </row>
    <row r="12" spans="2:10" x14ac:dyDescent="0.4">
      <c r="B12" s="1" t="s">
        <v>63</v>
      </c>
      <c r="C12" s="1" t="s">
        <v>60</v>
      </c>
      <c r="D12" s="1" t="s">
        <v>13</v>
      </c>
      <c r="E12" s="1">
        <v>100</v>
      </c>
      <c r="F12" s="1"/>
      <c r="G12" s="1"/>
      <c r="H12" s="1"/>
      <c r="J12" t="str">
        <f t="shared" si="0"/>
        <v xml:space="preserve">    ,CRBN_EMAIL VARCHAR (100)  COMMENT  '이메일'</v>
      </c>
    </row>
    <row r="13" spans="2:10" x14ac:dyDescent="0.4">
      <c r="B13" s="1" t="s">
        <v>64</v>
      </c>
      <c r="C13" s="1" t="s">
        <v>61</v>
      </c>
      <c r="D13" s="1" t="s">
        <v>13</v>
      </c>
      <c r="E13" s="1">
        <v>10</v>
      </c>
      <c r="F13" s="1"/>
      <c r="G13" s="1"/>
      <c r="H13" s="1"/>
      <c r="J13" t="str">
        <f t="shared" si="0"/>
        <v xml:space="preserve">    ,CRBN_DEPT VARCHAR (10)  COMMENT  '담당부서'</v>
      </c>
    </row>
    <row r="14" spans="2:10" x14ac:dyDescent="0.4">
      <c r="B14" s="1" t="s">
        <v>65</v>
      </c>
      <c r="C14" s="1" t="s">
        <v>62</v>
      </c>
      <c r="D14" s="1" t="s">
        <v>13</v>
      </c>
      <c r="E14" s="1">
        <v>50</v>
      </c>
      <c r="F14" s="1"/>
      <c r="G14" s="1"/>
      <c r="H14" s="1"/>
      <c r="J14" t="str">
        <f t="shared" si="0"/>
        <v xml:space="preserve">    ,CRBN_PSTN VARCHAR (50)  COMMENT  '직급'</v>
      </c>
    </row>
    <row r="15" spans="2:10" x14ac:dyDescent="0.4">
      <c r="B15" s="1" t="s">
        <v>23</v>
      </c>
      <c r="C15" s="1" t="s">
        <v>28</v>
      </c>
      <c r="D15" s="1" t="s">
        <v>13</v>
      </c>
      <c r="E15" s="1">
        <v>14</v>
      </c>
      <c r="F15" s="1"/>
      <c r="G15" s="1"/>
      <c r="H15" s="1"/>
      <c r="J15" t="str">
        <f t="shared" si="0"/>
        <v xml:space="preserve">    ,CHG_PWD_DTM VARCHAR (14)  COMMENT  '패스워드 변경일'</v>
      </c>
    </row>
    <row r="16" spans="2:10" x14ac:dyDescent="0.4">
      <c r="B16" s="1" t="s">
        <v>22</v>
      </c>
      <c r="C16" s="1" t="s">
        <v>29</v>
      </c>
      <c r="D16" s="1" t="s">
        <v>13</v>
      </c>
      <c r="E16" s="1">
        <v>14</v>
      </c>
      <c r="F16" s="1"/>
      <c r="G16" s="1"/>
      <c r="H16" s="1"/>
      <c r="J16" t="str">
        <f t="shared" si="0"/>
        <v xml:space="preserve">    ,LST_LGN_DTM VARCHAR (14)  COMMENT  '마지막 로그인 일시'</v>
      </c>
    </row>
    <row r="17" spans="2:10" x14ac:dyDescent="0.4">
      <c r="B17" s="1" t="s">
        <v>67</v>
      </c>
      <c r="C17" s="1" t="s">
        <v>9</v>
      </c>
      <c r="D17" s="5" t="s">
        <v>59</v>
      </c>
      <c r="E17" s="5"/>
      <c r="F17" s="1" t="s">
        <v>25</v>
      </c>
      <c r="G17" s="1"/>
      <c r="H17" s="1"/>
      <c r="J17" t="str">
        <f>"    ,"&amp;B17&amp;" "&amp;D17&amp;" " &amp; IF(E17&lt;&gt;"","("&amp;E17&amp;") "," ") &amp; IF(F17="N","NOT NULL DEFAULT CURRENT_TIMESTAMP ","") &amp;" COMMENT "&amp;" '"&amp;C17&amp;"'"</f>
        <v xml:space="preserve">    ,CRE_DTM DATETIME  NOT NULL DEFAULT CURRENT_TIMESTAMP  COMMENT  '생성일시'</v>
      </c>
    </row>
    <row r="18" spans="2:10" x14ac:dyDescent="0.4">
      <c r="B18" s="1" t="s">
        <v>10</v>
      </c>
      <c r="C18" s="1" t="s">
        <v>11</v>
      </c>
      <c r="D18" s="5" t="s">
        <v>59</v>
      </c>
      <c r="E18" s="5"/>
      <c r="F18" s="1"/>
      <c r="G18" s="1"/>
      <c r="H18" s="1"/>
      <c r="J18" t="str">
        <f t="shared" si="0"/>
        <v xml:space="preserve">    ,CHG_DTM DATETIME   COMMENT  '변경일시'</v>
      </c>
    </row>
    <row r="19" spans="2:10" x14ac:dyDescent="0.4">
      <c r="J19" t="str">
        <f xml:space="preserve"> ", PRIMARY KEY (`"&amp;B5&amp;"`) )"</f>
        <v>, PRIMARY KEY (`CRBN_ADM_ID`) )</v>
      </c>
    </row>
    <row r="20" spans="2:10" x14ac:dyDescent="0.4">
      <c r="J20" t="str">
        <f xml:space="preserve"> "COMMENT = '" &amp;C3&amp; "';  "</f>
        <v xml:space="preserve">COMMENT = '관리자 정보';  </v>
      </c>
    </row>
  </sheetData>
  <mergeCells count="1">
    <mergeCell ref="C3:H3"/>
  </mergeCells>
  <phoneticPr fontId="1" type="noConversion"/>
  <pageMargins left="0.7" right="0.7" top="0.75" bottom="0.75" header="0.3" footer="0.3"/>
  <pageSetup paperSize="9"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J17"/>
  <sheetViews>
    <sheetView workbookViewId="0">
      <selection activeCell="B3" sqref="B3"/>
    </sheetView>
  </sheetViews>
  <sheetFormatPr defaultRowHeight="17.399999999999999" x14ac:dyDescent="0.4"/>
  <cols>
    <col min="2" max="2" width="20.3984375" bestFit="1" customWidth="1"/>
    <col min="3" max="3" width="15.69921875" bestFit="1" customWidth="1"/>
    <col min="4" max="4" width="9.296875" bestFit="1" customWidth="1"/>
    <col min="10" max="10" width="77.3984375" customWidth="1"/>
  </cols>
  <sheetData>
    <row r="3" spans="2:10" x14ac:dyDescent="0.4">
      <c r="B3" s="1" t="str">
        <f>'테이블 리스트'!B5</f>
        <v>CRBN_ADM_LGN_HST</v>
      </c>
      <c r="C3" s="6" t="str">
        <f>'테이블 리스트'!C5</f>
        <v>관리자 로그인 이력</v>
      </c>
      <c r="D3" s="7"/>
      <c r="E3" s="7"/>
      <c r="F3" s="7"/>
      <c r="G3" s="8"/>
      <c r="J3" t="str">
        <f>"CREATE TABLE " &amp; B3</f>
        <v>CREATE TABLE CRBN_ADM_LGN_HST</v>
      </c>
    </row>
    <row r="4" spans="2:10" x14ac:dyDescent="0.4">
      <c r="B4" s="1" t="s">
        <v>1</v>
      </c>
      <c r="C4" s="2" t="s">
        <v>2</v>
      </c>
      <c r="D4" s="1" t="s">
        <v>3</v>
      </c>
      <c r="E4" s="1" t="s">
        <v>4</v>
      </c>
      <c r="F4" s="1" t="s">
        <v>6</v>
      </c>
      <c r="G4" s="1" t="s">
        <v>5</v>
      </c>
      <c r="H4" s="1" t="s">
        <v>30</v>
      </c>
      <c r="J4" t="str">
        <f>"("</f>
        <v>(</v>
      </c>
    </row>
    <row r="5" spans="2:10" x14ac:dyDescent="0.4">
      <c r="B5" s="1" t="s">
        <v>24</v>
      </c>
      <c r="C5" s="1" t="s">
        <v>14</v>
      </c>
      <c r="D5" s="1" t="s">
        <v>58</v>
      </c>
      <c r="E5" s="1"/>
      <c r="F5" s="1" t="s">
        <v>26</v>
      </c>
      <c r="G5" s="1" t="s">
        <v>12</v>
      </c>
      <c r="H5" s="1" t="s">
        <v>12</v>
      </c>
      <c r="J5" t="str">
        <f>"     " &amp;B5 &amp; " " &amp; D5 &amp; IF(E5&lt;&gt;"","("&amp;E5&amp;") "," ") &amp; IF(F5="N","NOT NULL ","")&amp;" primary key auto_increment  COMMENT " &amp; " '" &amp; C5 &amp; "'"</f>
        <v xml:space="preserve">     LGN_SEQ INT NOT NULL  primary key auto_increment  COMMENT  '로그인순번'</v>
      </c>
    </row>
    <row r="6" spans="2:10" x14ac:dyDescent="0.4">
      <c r="B6" s="1" t="s">
        <v>54</v>
      </c>
      <c r="C6" s="2" t="s">
        <v>66</v>
      </c>
      <c r="D6" s="1" t="s">
        <v>13</v>
      </c>
      <c r="E6" s="1">
        <v>20</v>
      </c>
      <c r="F6" s="1" t="s">
        <v>26</v>
      </c>
      <c r="G6" s="1"/>
      <c r="H6" s="1"/>
      <c r="J6" t="str">
        <f>"    ,"&amp;B6&amp;" "&amp;D6&amp;" " &amp; IF(E6&lt;&gt;"","("&amp;E6&amp;") "," ") &amp; IF(F6="N","NOT NULL ","") &amp;" COMMENT "&amp;" '"&amp;C6&amp;"'"</f>
        <v xml:space="preserve">    ,CRBN_ADM_ID VARCHAR (20) NOT NULL  COMMENT  '관리자아이디'</v>
      </c>
    </row>
    <row r="7" spans="2:10" x14ac:dyDescent="0.4">
      <c r="B7" s="1" t="s">
        <v>19</v>
      </c>
      <c r="C7" s="1" t="s">
        <v>15</v>
      </c>
      <c r="D7" s="1" t="s">
        <v>13</v>
      </c>
      <c r="E7" s="1">
        <v>20</v>
      </c>
      <c r="F7" s="1" t="s">
        <v>26</v>
      </c>
      <c r="G7" s="1"/>
      <c r="H7" s="1"/>
      <c r="J7" t="str">
        <f>"    ,"&amp;B7&amp;" "&amp;D7&amp;" " &amp; IF(E7&lt;&gt;"","("&amp;E7&amp;") "," ") &amp; IF(F7="N","NOT NULL ","") &amp;" COMMENT "&amp;" '"&amp;C7&amp;"'"</f>
        <v xml:space="preserve">    ,LGN_IP VARCHAR (20) NOT NULL  COMMENT  '아이피'</v>
      </c>
    </row>
    <row r="8" spans="2:10" x14ac:dyDescent="0.4">
      <c r="B8" s="1" t="s">
        <v>20</v>
      </c>
      <c r="C8" s="1" t="s">
        <v>17</v>
      </c>
      <c r="D8" s="1" t="s">
        <v>13</v>
      </c>
      <c r="E8" s="1">
        <v>20</v>
      </c>
      <c r="F8" s="1"/>
      <c r="G8" s="1"/>
      <c r="H8" s="1"/>
      <c r="J8" t="str">
        <f>"    ,"&amp;B8&amp;" "&amp;D8&amp;" " &amp; IF(E8&lt;&gt;"","("&amp;E8&amp;") "," ") &amp; IF(F8="N","NOT NULL ","") &amp;" COMMENT "&amp;" '"&amp;C8&amp;"'"</f>
        <v xml:space="preserve">    ,LGN_OS VARCHAR (20)  COMMENT  'OS'</v>
      </c>
    </row>
    <row r="9" spans="2:10" x14ac:dyDescent="0.4">
      <c r="B9" s="1" t="s">
        <v>21</v>
      </c>
      <c r="C9" s="1" t="s">
        <v>18</v>
      </c>
      <c r="D9" s="1" t="s">
        <v>13</v>
      </c>
      <c r="E9" s="1">
        <v>30</v>
      </c>
      <c r="F9" s="1"/>
      <c r="G9" s="1"/>
      <c r="H9" s="1"/>
      <c r="J9" t="str">
        <f>"    ,"&amp;B9&amp;" "&amp;D9&amp;" " &amp; IF(E9&lt;&gt;"","("&amp;E9&amp;") "," ") &amp; IF(F9="N","NOT NULL ","") &amp;" COMMENT "&amp;" '"&amp;C9&amp;"'"</f>
        <v xml:space="preserve">    ,LGN_BROWSER VARCHAR (30)  COMMENT  '브라우져'</v>
      </c>
    </row>
    <row r="10" spans="2:10" x14ac:dyDescent="0.4">
      <c r="B10" s="1" t="s">
        <v>8</v>
      </c>
      <c r="C10" s="1" t="s">
        <v>16</v>
      </c>
      <c r="D10" s="5" t="s">
        <v>59</v>
      </c>
      <c r="E10" s="5"/>
      <c r="F10" s="1" t="s">
        <v>25</v>
      </c>
      <c r="G10" s="1"/>
      <c r="H10" s="1"/>
      <c r="J10" t="str">
        <f>"    ,"&amp;B10&amp;" "&amp;D10&amp;" " &amp; IF(E10&lt;&gt;"","("&amp;E10&amp;") "," ") &amp; IF(F10="N","NOT NULL DEFAULT CURRENT_TIMESTAMP ","") &amp;" COMMENT "&amp;" '"&amp;C10&amp;"'"</f>
        <v xml:space="preserve">    ,CRE_DTM DATETIME  NOT NULL DEFAULT CURRENT_TIMESTAMP  COMMENT  '로그인일시'</v>
      </c>
    </row>
    <row r="11" spans="2:10" x14ac:dyDescent="0.4">
      <c r="H11" s="1"/>
      <c r="J11" t="str">
        <f xml:space="preserve"> ") "</f>
        <v xml:space="preserve">) </v>
      </c>
    </row>
    <row r="12" spans="2:10" x14ac:dyDescent="0.4">
      <c r="H12" s="1"/>
      <c r="J12" t="str">
        <f xml:space="preserve"> "COMMENT = '" &amp;C3&amp; "';  "</f>
        <v xml:space="preserve">COMMENT = '관리자 로그인 이력';  </v>
      </c>
    </row>
    <row r="13" spans="2:10" x14ac:dyDescent="0.4">
      <c r="H13" s="1"/>
    </row>
    <row r="14" spans="2:10" x14ac:dyDescent="0.4">
      <c r="H14" s="1"/>
    </row>
    <row r="15" spans="2:10" x14ac:dyDescent="0.4">
      <c r="H15" s="1"/>
    </row>
    <row r="16" spans="2:10" x14ac:dyDescent="0.4">
      <c r="H16" s="1"/>
    </row>
    <row r="17" spans="8:8" x14ac:dyDescent="0.4">
      <c r="H17" s="1"/>
    </row>
  </sheetData>
  <mergeCells count="1">
    <mergeCell ref="C3:G3"/>
  </mergeCells>
  <phoneticPr fontId="1" type="noConversion"/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테이블 리스트</vt:lpstr>
      <vt:lpstr>기업(대리점, 스폰서)</vt:lpstr>
      <vt:lpstr>지방자치단체</vt:lpstr>
      <vt:lpstr>관리자 정보</vt:lpstr>
      <vt:lpstr>관리자로그인이력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Cheolwon Jeong</dc:creator>
  <cp:lastModifiedBy>Cheolwon Jeong</cp:lastModifiedBy>
  <dcterms:created xsi:type="dcterms:W3CDTF">2019-09-25T12:50:02Z</dcterms:created>
  <dcterms:modified xsi:type="dcterms:W3CDTF">2025-05-06T05:10:46Z</dcterms:modified>
</cp:coreProperties>
</file>