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myProject\Carbon(카본)\설계\"/>
    </mc:Choice>
  </mc:AlternateContent>
  <xr:revisionPtr revIDLastSave="0" documentId="13_ncr:1_{58F65933-B7A6-4309-BC81-1B4782B3C44A}" xr6:coauthVersionLast="47" xr6:coauthVersionMax="47" xr10:uidLastSave="{00000000-0000-0000-0000-000000000000}"/>
  <bookViews>
    <workbookView xWindow="-108" yWindow="-108" windowWidth="23256" windowHeight="12456" firstSheet="1" activeTab="9" xr2:uid="{00000000-000D-0000-FFFF-FFFF00000000}"/>
  </bookViews>
  <sheets>
    <sheet name="테이블 리스트" sheetId="1" r:id="rId1"/>
    <sheet name="이슈" sheetId="2" r:id="rId2"/>
    <sheet name="환경뉴스" sheetId="22" r:id="rId3"/>
    <sheet name="기관 핫뉴스" sheetId="23" r:id="rId4"/>
    <sheet name="이벤트" sheetId="25" r:id="rId5"/>
    <sheet name="이벤트 참여이력" sheetId="24" r:id="rId6"/>
    <sheet name="당첨자" sheetId="26" r:id="rId7"/>
    <sheet name="공지사항" sheetId="27" r:id="rId8"/>
    <sheet name="일대일문의하기" sheetId="28" r:id="rId9"/>
    <sheet name="자주묻는 질문" sheetId="29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22" l="1"/>
  <c r="J9" i="29" l="1"/>
  <c r="J13" i="28"/>
  <c r="J10" i="27"/>
  <c r="J13" i="25"/>
  <c r="J12" i="25"/>
  <c r="J17" i="23"/>
  <c r="J16" i="23"/>
  <c r="J15" i="23"/>
  <c r="J14" i="23"/>
  <c r="J13" i="23"/>
  <c r="J17" i="22"/>
  <c r="J16" i="22"/>
  <c r="J15" i="22"/>
  <c r="J14" i="22"/>
  <c r="J13" i="22"/>
  <c r="J7" i="26"/>
  <c r="J10" i="24"/>
  <c r="J7" i="24"/>
  <c r="J6" i="2" l="1"/>
  <c r="J13" i="29"/>
  <c r="J14" i="28"/>
  <c r="J12" i="27"/>
  <c r="J16" i="25"/>
  <c r="J20" i="23"/>
  <c r="J20" i="22"/>
  <c r="J11" i="29"/>
  <c r="J9" i="27"/>
  <c r="J14" i="25"/>
  <c r="J18" i="23"/>
  <c r="J18" i="22"/>
  <c r="J10" i="2"/>
  <c r="J12" i="2"/>
  <c r="J20" i="29" l="1"/>
  <c r="J19" i="29"/>
  <c r="J18" i="29"/>
  <c r="J17" i="29"/>
  <c r="J16" i="29"/>
  <c r="J15" i="29"/>
  <c r="J14" i="29"/>
  <c r="J12" i="29"/>
  <c r="J19" i="27"/>
  <c r="J18" i="27"/>
  <c r="J17" i="27"/>
  <c r="J16" i="27"/>
  <c r="J15" i="27"/>
  <c r="J14" i="27"/>
  <c r="J13" i="27"/>
  <c r="C3" i="29"/>
  <c r="J22" i="29" s="1"/>
  <c r="B3" i="29"/>
  <c r="J3" i="29" s="1"/>
  <c r="J21" i="29"/>
  <c r="J10" i="29"/>
  <c r="J8" i="29"/>
  <c r="J7" i="29"/>
  <c r="J6" i="29"/>
  <c r="J5" i="29"/>
  <c r="J4" i="29"/>
  <c r="J19" i="28"/>
  <c r="C3" i="28"/>
  <c r="J20" i="28" s="1"/>
  <c r="B3" i="28"/>
  <c r="J3" i="28" s="1"/>
  <c r="J20" i="27"/>
  <c r="J8" i="26"/>
  <c r="J5" i="26"/>
  <c r="J9" i="26"/>
  <c r="J11" i="24"/>
  <c r="J24" i="25"/>
  <c r="J5" i="28"/>
  <c r="J5" i="27"/>
  <c r="J5" i="24"/>
  <c r="J5" i="25"/>
  <c r="J28" i="23"/>
  <c r="J5" i="23"/>
  <c r="J27" i="22"/>
  <c r="J5" i="22"/>
  <c r="J17" i="2"/>
  <c r="J5" i="2"/>
  <c r="J6" i="28"/>
  <c r="J6" i="27"/>
  <c r="J6" i="25"/>
  <c r="J6" i="23"/>
  <c r="J6" i="22"/>
  <c r="J16" i="2"/>
  <c r="J15" i="2"/>
  <c r="J14" i="2"/>
  <c r="J13" i="2"/>
  <c r="J11" i="2"/>
  <c r="J18" i="28"/>
  <c r="J17" i="28"/>
  <c r="J16" i="28"/>
  <c r="J15" i="28"/>
  <c r="J12" i="28"/>
  <c r="J11" i="28"/>
  <c r="J10" i="28"/>
  <c r="J9" i="28"/>
  <c r="J8" i="28"/>
  <c r="J7" i="28"/>
  <c r="J4" i="28"/>
  <c r="C3" i="27"/>
  <c r="J21" i="27" s="1"/>
  <c r="B3" i="27"/>
  <c r="J3" i="27" s="1"/>
  <c r="J11" i="27"/>
  <c r="J8" i="27"/>
  <c r="J7" i="27"/>
  <c r="J4" i="27"/>
  <c r="C3" i="26"/>
  <c r="B3" i="26"/>
  <c r="J3" i="26" s="1"/>
  <c r="J6" i="26"/>
  <c r="J4" i="26"/>
  <c r="J8" i="24"/>
  <c r="C3" i="24"/>
  <c r="J12" i="24" s="1"/>
  <c r="B3" i="24"/>
  <c r="J3" i="24" s="1"/>
  <c r="J9" i="24"/>
  <c r="J6" i="24"/>
  <c r="J4" i="24"/>
  <c r="J23" i="25"/>
  <c r="J22" i="25"/>
  <c r="J21" i="25"/>
  <c r="J20" i="25"/>
  <c r="J19" i="25"/>
  <c r="J18" i="25"/>
  <c r="J17" i="25"/>
  <c r="J15" i="25"/>
  <c r="J11" i="25"/>
  <c r="J10" i="25"/>
  <c r="J9" i="25"/>
  <c r="J8" i="25"/>
  <c r="J7" i="25"/>
  <c r="J4" i="25"/>
  <c r="C3" i="25"/>
  <c r="J25" i="25" s="1"/>
  <c r="B3" i="25"/>
  <c r="J3" i="25" s="1"/>
  <c r="C3" i="23"/>
  <c r="J29" i="23" s="1"/>
  <c r="B3" i="23"/>
  <c r="J3" i="23" s="1"/>
  <c r="J27" i="23"/>
  <c r="J26" i="23"/>
  <c r="J25" i="23"/>
  <c r="J24" i="23"/>
  <c r="J23" i="23"/>
  <c r="J22" i="23"/>
  <c r="J21" i="23"/>
  <c r="J19" i="23"/>
  <c r="J12" i="23"/>
  <c r="J11" i="23"/>
  <c r="J10" i="23"/>
  <c r="J9" i="23"/>
  <c r="J8" i="23"/>
  <c r="J7" i="23"/>
  <c r="J4" i="23"/>
  <c r="J26" i="22"/>
  <c r="J25" i="22"/>
  <c r="J24" i="22"/>
  <c r="J23" i="22"/>
  <c r="J22" i="22"/>
  <c r="J21" i="22"/>
  <c r="J19" i="22"/>
  <c r="J12" i="22"/>
  <c r="J10" i="22"/>
  <c r="C3" i="22"/>
  <c r="J28" i="22" s="1"/>
  <c r="B3" i="22"/>
  <c r="J3" i="22" s="1"/>
  <c r="J9" i="22"/>
  <c r="J8" i="22"/>
  <c r="J7" i="22"/>
  <c r="J4" i="22"/>
  <c r="C3" i="2" l="1"/>
  <c r="J18" i="2" s="1"/>
  <c r="B3" i="2"/>
  <c r="J9" i="2" l="1"/>
  <c r="J8" i="2"/>
  <c r="J7" i="2"/>
  <c r="J4" i="2"/>
  <c r="J3" i="2"/>
</calcChain>
</file>

<file path=xl/sharedStrings.xml><?xml version="1.0" encoding="utf-8"?>
<sst xmlns="http://schemas.openxmlformats.org/spreadsheetml/2006/main" count="535" uniqueCount="130">
  <si>
    <t>항목명</t>
    <phoneticPr fontId="1" type="noConversion"/>
  </si>
  <si>
    <t>코멘트</t>
    <phoneticPr fontId="1" type="noConversion"/>
  </si>
  <si>
    <t>타입</t>
    <phoneticPr fontId="1" type="noConversion"/>
  </si>
  <si>
    <t>길이</t>
    <phoneticPr fontId="1" type="noConversion"/>
  </si>
  <si>
    <t>PK</t>
    <phoneticPr fontId="1" type="noConversion"/>
  </si>
  <si>
    <t>NULL</t>
    <phoneticPr fontId="1" type="noConversion"/>
  </si>
  <si>
    <t>MBR_ID</t>
  </si>
  <si>
    <t>회원 아이디</t>
  </si>
  <si>
    <t>Y</t>
  </si>
  <si>
    <t>CRE_DTM</t>
  </si>
  <si>
    <t>생성일시</t>
  </si>
  <si>
    <t>CHG_DTM</t>
  </si>
  <si>
    <t>변경일시</t>
  </si>
  <si>
    <t>VARCHAR</t>
  </si>
  <si>
    <t>BIGINT</t>
    <phoneticPr fontId="1" type="noConversion"/>
  </si>
  <si>
    <t>제목</t>
    <phoneticPr fontId="1" type="noConversion"/>
  </si>
  <si>
    <t>내용</t>
    <phoneticPr fontId="1" type="noConversion"/>
  </si>
  <si>
    <t>TEXT</t>
    <phoneticPr fontId="1" type="noConversion"/>
  </si>
  <si>
    <t>읽은 건수</t>
    <phoneticPr fontId="1" type="noConversion"/>
  </si>
  <si>
    <t>문서번호</t>
    <phoneticPr fontId="1" type="noConversion"/>
  </si>
  <si>
    <t>비밀번호</t>
    <phoneticPr fontId="1" type="noConversion"/>
  </si>
  <si>
    <t>QNA_PWD</t>
    <phoneticPr fontId="1" type="noConversion"/>
  </si>
  <si>
    <t>QNA_IND</t>
    <phoneticPr fontId="1" type="noConversion"/>
  </si>
  <si>
    <t>관리자 아이디</t>
    <phoneticPr fontId="1" type="noConversion"/>
  </si>
  <si>
    <t>MBR_ID</t>
    <phoneticPr fontId="1" type="noConversion"/>
  </si>
  <si>
    <t>공지사항</t>
    <phoneticPr fontId="1" type="noConversion"/>
  </si>
  <si>
    <t>일대일문의하기</t>
    <phoneticPr fontId="1" type="noConversion"/>
  </si>
  <si>
    <t>답변</t>
    <phoneticPr fontId="1" type="noConversion"/>
  </si>
  <si>
    <t>ANS_CONTENT</t>
    <phoneticPr fontId="1" type="noConversion"/>
  </si>
  <si>
    <t>ANS_DTM</t>
    <phoneticPr fontId="1" type="noConversion"/>
  </si>
  <si>
    <t>답변일시</t>
    <phoneticPr fontId="1" type="noConversion"/>
  </si>
  <si>
    <t>AUDIT_ID</t>
    <phoneticPr fontId="1" type="noConversion"/>
  </si>
  <si>
    <t>QNA_TITLE</t>
    <phoneticPr fontId="1" type="noConversion"/>
  </si>
  <si>
    <t>QNA_CONTENT</t>
    <phoneticPr fontId="1" type="noConversion"/>
  </si>
  <si>
    <t>공개/비공개 여부(1:공개, 2:비공개)</t>
    <phoneticPr fontId="1" type="noConversion"/>
  </si>
  <si>
    <t>중분류</t>
    <phoneticPr fontId="1" type="noConversion"/>
  </si>
  <si>
    <t>QNA_SORT</t>
    <phoneticPr fontId="1" type="noConversion"/>
  </si>
  <si>
    <t>N</t>
    <phoneticPr fontId="1" type="noConversion"/>
  </si>
  <si>
    <t>회원아이디</t>
  </si>
  <si>
    <t>CRBN_NOTICE</t>
    <phoneticPr fontId="1" type="noConversion"/>
  </si>
  <si>
    <t>CRBN_QNA</t>
    <phoneticPr fontId="1" type="noConversion"/>
  </si>
  <si>
    <t>유니크</t>
    <phoneticPr fontId="1" type="noConversion"/>
  </si>
  <si>
    <t>CRBN</t>
    <phoneticPr fontId="1" type="noConversion"/>
  </si>
  <si>
    <t>이슈</t>
    <phoneticPr fontId="1" type="noConversion"/>
  </si>
  <si>
    <t>CRBN_ISSU</t>
    <phoneticPr fontId="1" type="noConversion"/>
  </si>
  <si>
    <t>문서제목</t>
    <phoneticPr fontId="1" type="noConversion"/>
  </si>
  <si>
    <t>이미지네일 이름</t>
    <phoneticPr fontId="1" type="noConversion"/>
  </si>
  <si>
    <t>문서링크</t>
    <phoneticPr fontId="1" type="noConversion"/>
  </si>
  <si>
    <t>이벤트</t>
    <phoneticPr fontId="1" type="noConversion"/>
  </si>
  <si>
    <t>당첨자</t>
    <phoneticPr fontId="1" type="noConversion"/>
  </si>
  <si>
    <t>환경뉴스</t>
    <phoneticPr fontId="1" type="noConversion"/>
  </si>
  <si>
    <t>기관 핫뉴스</t>
    <phoneticPr fontId="1" type="noConversion"/>
  </si>
  <si>
    <t>광고</t>
    <phoneticPr fontId="1" type="noConversion"/>
  </si>
  <si>
    <t>CRBN_EVENT_INFO</t>
    <phoneticPr fontId="1" type="noConversion"/>
  </si>
  <si>
    <t>CRBN_WINNER</t>
    <phoneticPr fontId="1" type="noConversion"/>
  </si>
  <si>
    <t>CRBN_ENV_NEWS</t>
    <phoneticPr fontId="1" type="noConversion"/>
  </si>
  <si>
    <t>CRBN_HOT_NEWS</t>
    <phoneticPr fontId="1" type="noConversion"/>
  </si>
  <si>
    <t>CRBN_ADVERTISE</t>
    <phoneticPr fontId="1" type="noConversion"/>
  </si>
  <si>
    <t>SMALLINT</t>
  </si>
  <si>
    <t>DOC_TITLE</t>
  </si>
  <si>
    <t>DOC_LINK</t>
  </si>
  <si>
    <t>순번</t>
    <phoneticPr fontId="1" type="noConversion"/>
  </si>
  <si>
    <t>DOC_SEQ</t>
  </si>
  <si>
    <t>IMG_VIEW_IND</t>
  </si>
  <si>
    <t>IMG_SRC_NM</t>
  </si>
  <si>
    <t>IMG_NAIL_NM</t>
  </si>
  <si>
    <t>DOC_INFO</t>
  </si>
  <si>
    <t>DOC_FROM</t>
  </si>
  <si>
    <t>DOC_READ</t>
  </si>
  <si>
    <t>DOC_LIKE</t>
  </si>
  <si>
    <t>DOC_STAT</t>
  </si>
  <si>
    <t>REG_ID</t>
  </si>
  <si>
    <t>SHOW_ID</t>
  </si>
  <si>
    <t>SHOW_DTM</t>
  </si>
  <si>
    <t>CANCEL_ID</t>
  </si>
  <si>
    <t>CANCEL_DTM</t>
  </si>
  <si>
    <t>DEL_YN</t>
  </si>
  <si>
    <t>DEL_ID</t>
  </si>
  <si>
    <t>DEL_DTM</t>
  </si>
  <si>
    <t>문서순번</t>
  </si>
  <si>
    <t>제목</t>
  </si>
  <si>
    <t>이미지구분</t>
  </si>
  <si>
    <t>이미지 원래이름</t>
  </si>
  <si>
    <t>문서내용</t>
  </si>
  <si>
    <t>문서 출처</t>
  </si>
  <si>
    <t>읽은건수</t>
  </si>
  <si>
    <t>좋아요 건수</t>
  </si>
  <si>
    <t>등록자ID</t>
  </si>
  <si>
    <t>게시 아이디</t>
  </si>
  <si>
    <t>게시일시</t>
  </si>
  <si>
    <t>게시취소 아이디</t>
  </si>
  <si>
    <t>게시취소일시</t>
  </si>
  <si>
    <t>삭제여부</t>
  </si>
  <si>
    <t>삭제 아이디</t>
  </si>
  <si>
    <t>삭제일시</t>
  </si>
  <si>
    <t>INT</t>
  </si>
  <si>
    <t>MEDIUMTEXT</t>
  </si>
  <si>
    <t>DATETIME</t>
  </si>
  <si>
    <t>추천해요 건수</t>
    <phoneticPr fontId="1" type="noConversion"/>
  </si>
  <si>
    <t>슬퍼요 건수</t>
    <phoneticPr fontId="1" type="noConversion"/>
  </si>
  <si>
    <t>화나요 건수</t>
    <phoneticPr fontId="1" type="noConversion"/>
  </si>
  <si>
    <t>DOC_ANGRY</t>
    <phoneticPr fontId="1" type="noConversion"/>
  </si>
  <si>
    <t>DOC_SAD</t>
    <phoneticPr fontId="1" type="noConversion"/>
  </si>
  <si>
    <t>DOC_RCMND</t>
    <phoneticPr fontId="1" type="noConversion"/>
  </si>
  <si>
    <t>EVT_SEQ</t>
    <phoneticPr fontId="1" type="noConversion"/>
  </si>
  <si>
    <t>참여건수</t>
    <phoneticPr fontId="1" type="noConversion"/>
  </si>
  <si>
    <t>이벤트 내용</t>
    <phoneticPr fontId="1" type="noConversion"/>
  </si>
  <si>
    <t>이벤트 참여이력</t>
    <phoneticPr fontId="1" type="noConversion"/>
  </si>
  <si>
    <t>CRBN_EVENT_WITH</t>
    <phoneticPr fontId="1" type="noConversion"/>
  </si>
  <si>
    <t>EVT_WITH</t>
    <phoneticPr fontId="1" type="noConversion"/>
  </si>
  <si>
    <t>이벤트 순번</t>
    <phoneticPr fontId="1" type="noConversion"/>
  </si>
  <si>
    <t>이벤트 참여</t>
    <phoneticPr fontId="1" type="noConversion"/>
  </si>
  <si>
    <t>이벤트 참여 답글</t>
    <phoneticPr fontId="1" type="noConversion"/>
  </si>
  <si>
    <t>EVT_WITH_ANS</t>
    <phoneticPr fontId="1" type="noConversion"/>
  </si>
  <si>
    <t>INT</t>
    <phoneticPr fontId="1" type="noConversion"/>
  </si>
  <si>
    <t>소속코드</t>
    <phoneticPr fontId="1" type="noConversion"/>
  </si>
  <si>
    <t>자주묻는 질문</t>
    <phoneticPr fontId="1" type="noConversion"/>
  </si>
  <si>
    <t>CRBN_FAQ</t>
    <phoneticPr fontId="1" type="noConversion"/>
  </si>
  <si>
    <t>DOC_SEQ</t>
    <phoneticPr fontId="1" type="noConversion"/>
  </si>
  <si>
    <t>질문</t>
    <phoneticPr fontId="1" type="noConversion"/>
  </si>
  <si>
    <t>QN_CONTENT</t>
    <phoneticPr fontId="1" type="noConversion"/>
  </si>
  <si>
    <t>QA_CONTENT</t>
    <phoneticPr fontId="1" type="noConversion"/>
  </si>
  <si>
    <t>문서상태(N:등록, V:게시, C:게시취소)</t>
    <phoneticPr fontId="1" type="noConversion"/>
  </si>
  <si>
    <t>PARTY_CD</t>
  </si>
  <si>
    <t>DOC_URL</t>
    <phoneticPr fontId="1" type="noConversion"/>
  </si>
  <si>
    <t>문서 URL</t>
    <phoneticPr fontId="1" type="noConversion"/>
  </si>
  <si>
    <t>미</t>
    <phoneticPr fontId="1" type="noConversion"/>
  </si>
  <si>
    <t>ok</t>
    <phoneticPr fontId="1" type="noConversion"/>
  </si>
  <si>
    <t>REG_DTM</t>
    <phoneticPr fontId="1" type="noConversion"/>
  </si>
  <si>
    <t>이미지네일이름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</si>
</sst>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1"/>
  <sheetViews>
    <sheetView workbookViewId="0">
      <selection activeCell="D10" sqref="D10"/>
    </sheetView>
  </sheetViews>
  <sheetFormatPr defaultRowHeight="17.399999999999999" x14ac:dyDescent="0.4"/>
  <cols>
    <col min="2" max="2" width="20.09765625" bestFit="1" customWidth="1"/>
    <col min="3" max="3" width="23.59765625" bestFit="1" customWidth="1"/>
  </cols>
  <sheetData>
    <row r="1" spans="2:4" x14ac:dyDescent="0.4">
      <c r="B1" t="s">
        <v>42</v>
      </c>
    </row>
    <row r="2" spans="2:4" x14ac:dyDescent="0.4">
      <c r="B2" s="3" t="s">
        <v>44</v>
      </c>
      <c r="C2" s="4" t="s">
        <v>43</v>
      </c>
      <c r="D2" t="s">
        <v>126</v>
      </c>
    </row>
    <row r="3" spans="2:4" x14ac:dyDescent="0.4">
      <c r="B3" s="3" t="s">
        <v>55</v>
      </c>
      <c r="C3" s="3" t="s">
        <v>50</v>
      </c>
    </row>
    <row r="4" spans="2:4" x14ac:dyDescent="0.4">
      <c r="B4" s="3" t="s">
        <v>56</v>
      </c>
      <c r="C4" s="4" t="s">
        <v>51</v>
      </c>
    </row>
    <row r="5" spans="2:4" x14ac:dyDescent="0.4">
      <c r="B5" s="3" t="s">
        <v>53</v>
      </c>
      <c r="C5" s="4" t="s">
        <v>48</v>
      </c>
    </row>
    <row r="6" spans="2:4" x14ac:dyDescent="0.4">
      <c r="B6" s="3" t="s">
        <v>108</v>
      </c>
      <c r="C6" s="4" t="s">
        <v>107</v>
      </c>
    </row>
    <row r="7" spans="2:4" x14ac:dyDescent="0.4">
      <c r="B7" s="3" t="s">
        <v>54</v>
      </c>
      <c r="C7" s="4" t="s">
        <v>49</v>
      </c>
    </row>
    <row r="8" spans="2:4" x14ac:dyDescent="0.4">
      <c r="B8" s="3" t="s">
        <v>57</v>
      </c>
      <c r="C8" s="3" t="s">
        <v>52</v>
      </c>
    </row>
    <row r="9" spans="2:4" x14ac:dyDescent="0.4">
      <c r="B9" s="1" t="s">
        <v>39</v>
      </c>
      <c r="C9" s="2" t="s">
        <v>25</v>
      </c>
      <c r="D9" t="s">
        <v>127</v>
      </c>
    </row>
    <row r="10" spans="2:4" x14ac:dyDescent="0.4">
      <c r="B10" s="1" t="s">
        <v>40</v>
      </c>
      <c r="C10" s="2" t="s">
        <v>26</v>
      </c>
    </row>
    <row r="11" spans="2:4" x14ac:dyDescent="0.4">
      <c r="B11" s="1" t="s">
        <v>117</v>
      </c>
      <c r="C11" s="1" t="s">
        <v>116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18"/>
  <sheetViews>
    <sheetView workbookViewId="0">
      <selection activeCell="C8" sqref="C8"/>
    </sheetView>
  </sheetViews>
  <sheetFormatPr defaultRowHeight="17.399999999999999" x14ac:dyDescent="0.4"/>
  <cols>
    <col min="2" max="2" width="17.5" bestFit="1" customWidth="1"/>
    <col min="3" max="3" width="30.296875" bestFit="1" customWidth="1"/>
    <col min="4" max="4" width="9.296875" bestFit="1" customWidth="1"/>
    <col min="6" max="6" width="10.19921875" bestFit="1" customWidth="1"/>
    <col min="10" max="10" width="48.69921875" bestFit="1" customWidth="1"/>
  </cols>
  <sheetData>
    <row r="3" spans="2:10" x14ac:dyDescent="0.4">
      <c r="B3" s="1" t="str">
        <f>'테이블 리스트'!B2</f>
        <v>CRBN_ISSU</v>
      </c>
      <c r="C3" s="6" t="str">
        <f>'테이블 리스트'!C2</f>
        <v>이슈</v>
      </c>
      <c r="D3" s="7"/>
      <c r="E3" s="7"/>
      <c r="F3" s="7"/>
      <c r="G3" s="7"/>
      <c r="H3" s="8"/>
      <c r="J3" t="str">
        <f>"CREATE TABLE " &amp; B3</f>
        <v>CREATE TABLE CRBN_ISSU</v>
      </c>
    </row>
    <row r="4" spans="2:10" x14ac:dyDescent="0.4">
      <c r="B4" s="1" t="s">
        <v>0</v>
      </c>
      <c r="C4" s="2" t="s">
        <v>1</v>
      </c>
      <c r="D4" s="1" t="s">
        <v>2</v>
      </c>
      <c r="E4" s="1" t="s">
        <v>3</v>
      </c>
      <c r="F4" s="1" t="s">
        <v>5</v>
      </c>
      <c r="G4" s="1" t="s">
        <v>4</v>
      </c>
      <c r="H4" s="1" t="s">
        <v>41</v>
      </c>
      <c r="J4" t="str">
        <f>"("</f>
        <v>(</v>
      </c>
    </row>
    <row r="5" spans="2:10" x14ac:dyDescent="0.4">
      <c r="B5" s="1" t="s">
        <v>118</v>
      </c>
      <c r="C5" s="2" t="s">
        <v>61</v>
      </c>
      <c r="D5" s="1" t="s">
        <v>58</v>
      </c>
      <c r="E5" s="1"/>
      <c r="F5" s="1" t="s">
        <v>37</v>
      </c>
      <c r="G5" s="1" t="s">
        <v>8</v>
      </c>
      <c r="H5" s="1"/>
      <c r="J5" t="str">
        <f>"     " &amp;B5 &amp; " " &amp; D5 &amp; IF(E5&lt;&gt;"","("&amp;E5&amp;") "," ") &amp; IF(F5="N","NOT NULL ","")&amp;" primary key auto_increment  COMMENT " &amp; " '" &amp; C5 &amp; "'"</f>
        <v xml:space="preserve">     DOC_SEQ SMALLINT NOT NULL  primary key auto_increment  COMMENT  '순번'</v>
      </c>
    </row>
    <row r="6" spans="2:10" x14ac:dyDescent="0.4">
      <c r="B6" s="1" t="s">
        <v>123</v>
      </c>
      <c r="C6" s="1" t="s">
        <v>115</v>
      </c>
      <c r="D6" s="1" t="s">
        <v>13</v>
      </c>
      <c r="E6" s="1">
        <v>20</v>
      </c>
      <c r="F6" s="1" t="s">
        <v>37</v>
      </c>
      <c r="G6" s="1"/>
      <c r="H6" s="1"/>
      <c r="J6" t="str">
        <f t="shared" ref="J6" si="0">"    ,"&amp;B6&amp;" "&amp;D6&amp;" " &amp; IF(E6&lt;&gt;"","("&amp;E6&amp;") "," ") &amp; IF(F6="N","NOT NULL ","") &amp;" COMMENT "&amp;" '"&amp;C6&amp;"'"</f>
        <v xml:space="preserve">    ,PARTY_CD VARCHAR (20) NOT NULL  COMMENT  '소속코드'</v>
      </c>
    </row>
    <row r="7" spans="2:10" x14ac:dyDescent="0.4">
      <c r="B7" s="1" t="s">
        <v>59</v>
      </c>
      <c r="C7" s="1" t="s">
        <v>45</v>
      </c>
      <c r="D7" s="1" t="s">
        <v>13</v>
      </c>
      <c r="E7" s="1">
        <v>200</v>
      </c>
      <c r="F7" s="1" t="s">
        <v>37</v>
      </c>
      <c r="G7" s="1"/>
      <c r="H7" s="1"/>
      <c r="J7" t="str">
        <f t="shared" ref="J7:J16" si="1">"    ,"&amp;B7&amp;" "&amp;D7&amp;" " &amp; IF(E7&lt;&gt;"","("&amp;E7&amp;") "," ") &amp; IF(F7="N","NOT NULL ","") &amp;" COMMENT "&amp;" '"&amp;C7&amp;"'"</f>
        <v xml:space="preserve">    ,DOC_TITLE VARCHAR (200) NOT NULL  COMMENT  '문서제목'</v>
      </c>
    </row>
    <row r="8" spans="2:10" x14ac:dyDescent="0.4">
      <c r="B8" s="1" t="s">
        <v>65</v>
      </c>
      <c r="C8" s="1" t="s">
        <v>46</v>
      </c>
      <c r="D8" s="1" t="s">
        <v>13</v>
      </c>
      <c r="E8" s="1">
        <v>200</v>
      </c>
      <c r="F8" s="1" t="s">
        <v>37</v>
      </c>
      <c r="G8" s="1"/>
      <c r="H8" s="1"/>
      <c r="J8" t="str">
        <f t="shared" si="1"/>
        <v xml:space="preserve">    ,IMG_NAIL_NM VARCHAR (200) NOT NULL  COMMENT  '이미지네일 이름'</v>
      </c>
    </row>
    <row r="9" spans="2:10" x14ac:dyDescent="0.4">
      <c r="B9" s="1" t="s">
        <v>60</v>
      </c>
      <c r="C9" s="1" t="s">
        <v>47</v>
      </c>
      <c r="D9" s="1" t="s">
        <v>13</v>
      </c>
      <c r="E9" s="1">
        <v>100</v>
      </c>
      <c r="F9" s="1" t="s">
        <v>37</v>
      </c>
      <c r="G9" s="1"/>
      <c r="H9" s="1"/>
      <c r="J9" t="str">
        <f t="shared" si="1"/>
        <v xml:space="preserve">    ,DOC_LINK VARCHAR (100) NOT NULL  COMMENT  '문서링크'</v>
      </c>
    </row>
    <row r="10" spans="2:10" x14ac:dyDescent="0.4">
      <c r="B10" s="5" t="s">
        <v>70</v>
      </c>
      <c r="C10" s="5" t="s">
        <v>122</v>
      </c>
      <c r="D10" s="5" t="s">
        <v>13</v>
      </c>
      <c r="E10" s="5">
        <v>1</v>
      </c>
      <c r="F10" s="1" t="s">
        <v>37</v>
      </c>
      <c r="G10" s="5"/>
      <c r="H10" s="5"/>
      <c r="J10" t="str">
        <f>"    ,"&amp;B10&amp;" "&amp;D10&amp;" " &amp; IF(E10&lt;&gt;"","("&amp;E10&amp;") "," ") &amp; IF(F10="N","NOT NULL DEFAULT 'N' ","") &amp;" COMMENT "&amp;" '"&amp;C10&amp;"'"</f>
        <v xml:space="preserve">    ,DOC_STAT VARCHAR (1) NOT NULL DEFAULT 'N'  COMMENT  '문서상태(N:등록, V:게시, C:게시취소)'</v>
      </c>
    </row>
    <row r="11" spans="2:10" x14ac:dyDescent="0.4">
      <c r="B11" s="5" t="s">
        <v>71</v>
      </c>
      <c r="C11" s="5" t="s">
        <v>87</v>
      </c>
      <c r="D11" s="5" t="s">
        <v>13</v>
      </c>
      <c r="E11" s="1">
        <v>20</v>
      </c>
      <c r="F11" s="1" t="s">
        <v>37</v>
      </c>
      <c r="G11" s="5"/>
      <c r="H11" s="5"/>
      <c r="J11" t="str">
        <f t="shared" si="1"/>
        <v xml:space="preserve">    ,REG_ID VARCHAR (20) NOT NULL  COMMENT  '등록자ID'</v>
      </c>
    </row>
    <row r="12" spans="2:10" x14ac:dyDescent="0.4">
      <c r="B12" s="1" t="s">
        <v>9</v>
      </c>
      <c r="C12" s="1" t="s">
        <v>10</v>
      </c>
      <c r="D12" s="5" t="s">
        <v>97</v>
      </c>
      <c r="E12" s="5"/>
      <c r="F12" s="1" t="s">
        <v>37</v>
      </c>
      <c r="G12" s="1"/>
      <c r="H12" s="1"/>
      <c r="J12" t="str">
        <f>"    ,"&amp;B12&amp;" "&amp;D12&amp;" " &amp; IF(E12&lt;&gt;"","("&amp;E12&amp;") "," ") &amp; IF(F12="N","NOT NULL DEFAULT CURRENT_TIMESTAMP  ","") &amp;" COMMENT "&amp;" '"&amp;C12&amp;"'"</f>
        <v xml:space="preserve">    ,CRE_DTM DATETIME  NOT NULL DEFAULT CURRENT_TIMESTAMP   COMMENT  '생성일시'</v>
      </c>
    </row>
    <row r="13" spans="2:10" x14ac:dyDescent="0.4">
      <c r="B13" s="5" t="s">
        <v>72</v>
      </c>
      <c r="C13" s="5" t="s">
        <v>88</v>
      </c>
      <c r="D13" s="5" t="s">
        <v>13</v>
      </c>
      <c r="E13" s="1">
        <v>20</v>
      </c>
      <c r="F13" s="5"/>
      <c r="G13" s="5"/>
      <c r="H13" s="5"/>
      <c r="J13" t="str">
        <f t="shared" si="1"/>
        <v xml:space="preserve">    ,SHOW_ID VARCHAR (20)  COMMENT  '게시 아이디'</v>
      </c>
    </row>
    <row r="14" spans="2:10" x14ac:dyDescent="0.4">
      <c r="B14" s="5" t="s">
        <v>73</v>
      </c>
      <c r="C14" s="5" t="s">
        <v>89</v>
      </c>
      <c r="D14" s="5" t="s">
        <v>97</v>
      </c>
      <c r="E14" s="5"/>
      <c r="F14" s="5"/>
      <c r="G14" s="5"/>
      <c r="H14" s="5"/>
      <c r="J14" t="str">
        <f t="shared" si="1"/>
        <v xml:space="preserve">    ,SHOW_DTM DATETIME   COMMENT  '게시일시'</v>
      </c>
    </row>
    <row r="15" spans="2:10" x14ac:dyDescent="0.4">
      <c r="B15" s="5" t="s">
        <v>74</v>
      </c>
      <c r="C15" s="5" t="s">
        <v>90</v>
      </c>
      <c r="D15" s="5" t="s">
        <v>13</v>
      </c>
      <c r="E15" s="1">
        <v>20</v>
      </c>
      <c r="F15" s="5"/>
      <c r="G15" s="5"/>
      <c r="H15" s="5"/>
      <c r="J15" t="str">
        <f t="shared" si="1"/>
        <v xml:space="preserve">    ,CANCEL_ID VARCHAR (20)  COMMENT  '게시취소 아이디'</v>
      </c>
    </row>
    <row r="16" spans="2:10" x14ac:dyDescent="0.4">
      <c r="B16" s="5" t="s">
        <v>75</v>
      </c>
      <c r="C16" s="5" t="s">
        <v>91</v>
      </c>
      <c r="D16" s="5" t="s">
        <v>97</v>
      </c>
      <c r="E16" s="5"/>
      <c r="F16" s="5"/>
      <c r="G16" s="5"/>
      <c r="H16" s="5"/>
      <c r="J16" t="str">
        <f t="shared" si="1"/>
        <v xml:space="preserve">    ,CANCEL_DTM DATETIME   COMMENT  '게시취소일시'</v>
      </c>
    </row>
    <row r="17" spans="10:10" x14ac:dyDescent="0.4">
      <c r="J17" t="str">
        <f>")"</f>
        <v>)</v>
      </c>
    </row>
    <row r="18" spans="10:10" x14ac:dyDescent="0.4">
      <c r="J18" t="str">
        <f xml:space="preserve"> "COMMENT = '" &amp;C3&amp; "';  "</f>
        <v xml:space="preserve">COMMENT = '이슈';  </v>
      </c>
    </row>
  </sheetData>
  <mergeCells count="1">
    <mergeCell ref="C3:H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25090-FD64-4BAF-8C5C-9A56CB6CB92A}">
  <dimension ref="B3:J28"/>
  <sheetViews>
    <sheetView workbookViewId="0">
      <selection activeCell="B9" sqref="B9:C9"/>
    </sheetView>
  </sheetViews>
  <sheetFormatPr defaultRowHeight="17.399999999999999" x14ac:dyDescent="0.4"/>
  <cols>
    <col min="2" max="2" width="27.09765625" bestFit="1" customWidth="1"/>
    <col min="3" max="3" width="30.296875" bestFit="1" customWidth="1"/>
    <col min="4" max="4" width="13" bestFit="1" customWidth="1"/>
    <col min="6" max="6" width="10.19921875" bestFit="1" customWidth="1"/>
    <col min="10" max="10" width="48.69921875" bestFit="1" customWidth="1"/>
  </cols>
  <sheetData>
    <row r="3" spans="2:10" x14ac:dyDescent="0.4">
      <c r="B3" s="5" t="str">
        <f>'테이블 리스트'!B3</f>
        <v>CRBN_ENV_NEWS</v>
      </c>
      <c r="C3" s="9" t="str">
        <f>'테이블 리스트'!C3</f>
        <v>환경뉴스</v>
      </c>
      <c r="D3" s="10"/>
      <c r="E3" s="10"/>
      <c r="F3" s="10"/>
      <c r="G3" s="10"/>
      <c r="H3" s="10"/>
      <c r="J3" t="str">
        <f>"CREATE TABLE " &amp; B3</f>
        <v>CREATE TABLE CRBN_ENV_NEWS</v>
      </c>
    </row>
    <row r="4" spans="2:10" x14ac:dyDescent="0.4">
      <c r="B4" s="5" t="s">
        <v>0</v>
      </c>
      <c r="C4" s="4" t="s">
        <v>1</v>
      </c>
      <c r="D4" s="5" t="s">
        <v>2</v>
      </c>
      <c r="E4" s="5" t="s">
        <v>3</v>
      </c>
      <c r="F4" s="5" t="s">
        <v>5</v>
      </c>
      <c r="G4" s="5" t="s">
        <v>4</v>
      </c>
      <c r="H4" s="5" t="s">
        <v>41</v>
      </c>
      <c r="J4" t="str">
        <f>"("</f>
        <v>(</v>
      </c>
    </row>
    <row r="5" spans="2:10" x14ac:dyDescent="0.4">
      <c r="B5" s="5" t="s">
        <v>62</v>
      </c>
      <c r="C5" s="5" t="s">
        <v>79</v>
      </c>
      <c r="D5" s="5" t="s">
        <v>95</v>
      </c>
      <c r="E5" s="5"/>
      <c r="F5" s="5" t="s">
        <v>37</v>
      </c>
      <c r="G5" s="5" t="s">
        <v>8</v>
      </c>
      <c r="H5" s="5"/>
      <c r="J5" t="str">
        <f>"     " &amp;B5 &amp; " " &amp; D5 &amp; IF(E5&lt;&gt;"","("&amp;E5&amp;") "," ") &amp; IF(F5="N","NOT NULL ","")&amp;" primary key auto_increment  COMMENT " &amp; " '" &amp; C5 &amp; "'"</f>
        <v xml:space="preserve">     DOC_SEQ INT NOT NULL  primary key auto_increment  COMMENT  '문서순번'</v>
      </c>
    </row>
    <row r="6" spans="2:10" x14ac:dyDescent="0.4">
      <c r="B6" s="1" t="s">
        <v>123</v>
      </c>
      <c r="C6" s="1" t="s">
        <v>115</v>
      </c>
      <c r="D6" s="1" t="s">
        <v>13</v>
      </c>
      <c r="E6" s="1">
        <v>20</v>
      </c>
      <c r="F6" s="1" t="s">
        <v>37</v>
      </c>
      <c r="G6" s="1"/>
      <c r="H6" s="1"/>
      <c r="J6" t="str">
        <f t="shared" ref="J6" si="0">"    ,"&amp;B6&amp;" "&amp;D6&amp;" " &amp; IF(E6&lt;&gt;"","("&amp;E6&amp;") "," ") &amp; IF(F6="N","NOT NULL ","") &amp;" COMMENT "&amp;" '"&amp;C6&amp;"'"</f>
        <v xml:space="preserve">    ,PARTY_CD VARCHAR (20) NOT NULL  COMMENT  '소속코드'</v>
      </c>
    </row>
    <row r="7" spans="2:10" x14ac:dyDescent="0.4">
      <c r="B7" s="5" t="s">
        <v>59</v>
      </c>
      <c r="C7" s="5" t="s">
        <v>80</v>
      </c>
      <c r="D7" s="5" t="s">
        <v>13</v>
      </c>
      <c r="E7" s="5">
        <v>200</v>
      </c>
      <c r="F7" s="5" t="s">
        <v>37</v>
      </c>
      <c r="G7" s="5"/>
      <c r="H7" s="5"/>
      <c r="J7" t="str">
        <f t="shared" ref="J7:J26" si="1">"    ,"&amp;B7&amp;" "&amp;D7&amp;" " &amp; IF(E7&lt;&gt;"","("&amp;E7&amp;") "," ") &amp; IF(F7="N","NOT NULL ","") &amp;" COMMENT "&amp;" '"&amp;C7&amp;"'"</f>
        <v xml:space="preserve">    ,DOC_TITLE VARCHAR (200) NOT NULL  COMMENT  '제목'</v>
      </c>
    </row>
    <row r="8" spans="2:10" x14ac:dyDescent="0.4">
      <c r="B8" s="5" t="s">
        <v>64</v>
      </c>
      <c r="C8" s="5" t="s">
        <v>82</v>
      </c>
      <c r="D8" s="5" t="s">
        <v>13</v>
      </c>
      <c r="E8" s="5">
        <v>200</v>
      </c>
      <c r="F8" s="5" t="s">
        <v>37</v>
      </c>
      <c r="G8" s="5"/>
      <c r="H8" s="5"/>
      <c r="J8" t="str">
        <f t="shared" si="1"/>
        <v xml:space="preserve">    ,IMG_SRC_NM VARCHAR (200) NOT NULL  COMMENT  '이미지 원래이름'</v>
      </c>
    </row>
    <row r="9" spans="2:10" x14ac:dyDescent="0.4">
      <c r="B9" s="5" t="s">
        <v>65</v>
      </c>
      <c r="C9" s="5" t="s">
        <v>129</v>
      </c>
      <c r="D9" s="5" t="s">
        <v>13</v>
      </c>
      <c r="E9" s="5">
        <v>200</v>
      </c>
      <c r="F9" s="5" t="s">
        <v>37</v>
      </c>
      <c r="G9" s="5"/>
      <c r="H9" s="5"/>
      <c r="J9" t="str">
        <f t="shared" si="1"/>
        <v xml:space="preserve">    ,IMG_NAIL_NM VARCHAR (200) NOT NULL  COMMENT  '이미지네일이름'</v>
      </c>
    </row>
    <row r="10" spans="2:10" x14ac:dyDescent="0.4">
      <c r="B10" s="5" t="s">
        <v>66</v>
      </c>
      <c r="C10" s="5" t="s">
        <v>83</v>
      </c>
      <c r="D10" s="5" t="s">
        <v>96</v>
      </c>
      <c r="E10" s="5"/>
      <c r="F10" s="5"/>
      <c r="G10" s="5"/>
      <c r="H10" s="5"/>
      <c r="J10" t="str">
        <f t="shared" si="1"/>
        <v xml:space="preserve">    ,DOC_INFO MEDIUMTEXT   COMMENT  '문서내용'</v>
      </c>
    </row>
    <row r="11" spans="2:10" x14ac:dyDescent="0.4">
      <c r="B11" s="5" t="s">
        <v>67</v>
      </c>
      <c r="C11" s="5" t="s">
        <v>84</v>
      </c>
      <c r="D11" s="5" t="s">
        <v>13</v>
      </c>
      <c r="E11" s="5">
        <v>200</v>
      </c>
      <c r="F11" s="5"/>
      <c r="G11" s="5"/>
      <c r="H11" s="5"/>
      <c r="J11" t="str">
        <f t="shared" ref="J11" si="2">"    ,"&amp;B11&amp;" "&amp;D11&amp;" " &amp; IF(E11&lt;&gt;"","("&amp;E11&amp;") "," ") &amp; IF(F11="N","NOT NULL ","") &amp;" COMMENT "&amp;" '"&amp;C11&amp;"'"</f>
        <v xml:space="preserve">    ,DOC_FROM VARCHAR (200)  COMMENT  '문서 출처'</v>
      </c>
    </row>
    <row r="12" spans="2:10" x14ac:dyDescent="0.4">
      <c r="B12" s="5" t="s">
        <v>124</v>
      </c>
      <c r="C12" s="5" t="s">
        <v>125</v>
      </c>
      <c r="D12" s="5" t="s">
        <v>13</v>
      </c>
      <c r="E12" s="5">
        <v>200</v>
      </c>
      <c r="F12" s="5"/>
      <c r="G12" s="5"/>
      <c r="H12" s="5"/>
      <c r="J12" t="str">
        <f t="shared" si="1"/>
        <v xml:space="preserve">    ,DOC_URL VARCHAR (200)  COMMENT  '문서 URL'</v>
      </c>
    </row>
    <row r="13" spans="2:10" x14ac:dyDescent="0.4">
      <c r="B13" s="5" t="s">
        <v>68</v>
      </c>
      <c r="C13" s="5" t="s">
        <v>85</v>
      </c>
      <c r="D13" s="5" t="s">
        <v>95</v>
      </c>
      <c r="E13" s="5"/>
      <c r="F13" s="5"/>
      <c r="G13" s="5"/>
      <c r="H13" s="5"/>
      <c r="J13" t="str">
        <f>"    ,"&amp;B13&amp;" "&amp;D13&amp;" " &amp; IF(E13&lt;&gt;"","("&amp;E13&amp;") "," ") &amp; IF(F13="N","NOT NULL ","") &amp;" DEFAULT 0 COMMENT "&amp;" '"&amp;C13&amp;"'"</f>
        <v xml:space="preserve">    ,DOC_READ INT   DEFAULT 0 COMMENT  '읽은건수'</v>
      </c>
    </row>
    <row r="14" spans="2:10" x14ac:dyDescent="0.4">
      <c r="B14" s="5" t="s">
        <v>103</v>
      </c>
      <c r="C14" s="5" t="s">
        <v>98</v>
      </c>
      <c r="D14" s="5" t="s">
        <v>95</v>
      </c>
      <c r="E14" s="5"/>
      <c r="F14" s="5"/>
      <c r="G14" s="5"/>
      <c r="H14" s="5"/>
      <c r="J14" t="str">
        <f t="shared" ref="J14:J17" si="3">"    ,"&amp;B14&amp;" "&amp;D14&amp;" " &amp; IF(E14&lt;&gt;"","("&amp;E14&amp;") "," ") &amp; IF(F14="N","NOT NULL ","") &amp;" DEFAULT 0 COMMENT "&amp;" '"&amp;C14&amp;"'"</f>
        <v xml:space="preserve">    ,DOC_RCMND INT   DEFAULT 0 COMMENT  '추천해요 건수'</v>
      </c>
    </row>
    <row r="15" spans="2:10" x14ac:dyDescent="0.4">
      <c r="B15" s="5" t="s">
        <v>69</v>
      </c>
      <c r="C15" s="5" t="s">
        <v>86</v>
      </c>
      <c r="D15" s="5" t="s">
        <v>95</v>
      </c>
      <c r="E15" s="5"/>
      <c r="F15" s="5"/>
      <c r="G15" s="5"/>
      <c r="H15" s="5"/>
      <c r="J15" t="str">
        <f t="shared" si="3"/>
        <v xml:space="preserve">    ,DOC_LIKE INT   DEFAULT 0 COMMENT  '좋아요 건수'</v>
      </c>
    </row>
    <row r="16" spans="2:10" x14ac:dyDescent="0.4">
      <c r="B16" s="5" t="s">
        <v>102</v>
      </c>
      <c r="C16" s="5" t="s">
        <v>99</v>
      </c>
      <c r="D16" s="5" t="s">
        <v>95</v>
      </c>
      <c r="E16" s="5"/>
      <c r="F16" s="5"/>
      <c r="G16" s="5"/>
      <c r="H16" s="5"/>
      <c r="J16" t="str">
        <f t="shared" si="3"/>
        <v xml:space="preserve">    ,DOC_SAD INT   DEFAULT 0 COMMENT  '슬퍼요 건수'</v>
      </c>
    </row>
    <row r="17" spans="2:10" x14ac:dyDescent="0.4">
      <c r="B17" s="5" t="s">
        <v>101</v>
      </c>
      <c r="C17" s="5" t="s">
        <v>100</v>
      </c>
      <c r="D17" s="5" t="s">
        <v>95</v>
      </c>
      <c r="E17" s="5"/>
      <c r="F17" s="5"/>
      <c r="G17" s="5"/>
      <c r="H17" s="5"/>
      <c r="J17" t="str">
        <f t="shared" si="3"/>
        <v xml:space="preserve">    ,DOC_ANGRY INT   DEFAULT 0 COMMENT  '화나요 건수'</v>
      </c>
    </row>
    <row r="18" spans="2:10" x14ac:dyDescent="0.4">
      <c r="B18" s="5" t="s">
        <v>70</v>
      </c>
      <c r="C18" s="5" t="s">
        <v>122</v>
      </c>
      <c r="D18" s="5" t="s">
        <v>13</v>
      </c>
      <c r="E18" s="5">
        <v>1</v>
      </c>
      <c r="F18" s="1" t="s">
        <v>37</v>
      </c>
      <c r="G18" s="5"/>
      <c r="H18" s="5"/>
      <c r="J18" t="str">
        <f>"    ,"&amp;B18&amp;" "&amp;D18&amp;" " &amp; IF(E18&lt;&gt;"","("&amp;E18&amp;") "," ") &amp; IF(F18="N","NOT NULL DEFAULT 'N' ","") &amp;" COMMENT "&amp;" '"&amp;C18&amp;"'"</f>
        <v xml:space="preserve">    ,DOC_STAT VARCHAR (1) NOT NULL DEFAULT 'N'  COMMENT  '문서상태(N:등록, V:게시, C:게시취소)'</v>
      </c>
    </row>
    <row r="19" spans="2:10" x14ac:dyDescent="0.4">
      <c r="B19" s="5" t="s">
        <v>71</v>
      </c>
      <c r="C19" s="5" t="s">
        <v>87</v>
      </c>
      <c r="D19" s="5" t="s">
        <v>13</v>
      </c>
      <c r="E19" s="5">
        <v>20</v>
      </c>
      <c r="F19" s="5"/>
      <c r="G19" s="5"/>
      <c r="H19" s="5"/>
      <c r="J19" t="str">
        <f t="shared" si="1"/>
        <v xml:space="preserve">    ,REG_ID VARCHAR (20)  COMMENT  '등록자ID'</v>
      </c>
    </row>
    <row r="20" spans="2:10" x14ac:dyDescent="0.4">
      <c r="B20" s="1" t="s">
        <v>128</v>
      </c>
      <c r="C20" s="1" t="s">
        <v>10</v>
      </c>
      <c r="D20" s="5" t="s">
        <v>97</v>
      </c>
      <c r="E20" s="5"/>
      <c r="F20" s="1" t="s">
        <v>37</v>
      </c>
      <c r="G20" s="1"/>
      <c r="H20" s="1"/>
      <c r="J20" t="str">
        <f>"    ,"&amp;B20&amp;" "&amp;D20&amp;" " &amp; IF(E20&lt;&gt;"","("&amp;E20&amp;") "," ") &amp; IF(F20="N","NOT NULL DEFAULT CURRENT_TIMESTAMP  ","") &amp;" COMMENT "&amp;" '"&amp;C20&amp;"'"</f>
        <v xml:space="preserve">    ,REG_DTM DATETIME  NOT NULL DEFAULT CURRENT_TIMESTAMP   COMMENT  '생성일시'</v>
      </c>
    </row>
    <row r="21" spans="2:10" x14ac:dyDescent="0.4">
      <c r="B21" s="5" t="s">
        <v>72</v>
      </c>
      <c r="C21" s="5" t="s">
        <v>88</v>
      </c>
      <c r="D21" s="5" t="s">
        <v>13</v>
      </c>
      <c r="E21" s="5">
        <v>20</v>
      </c>
      <c r="F21" s="5"/>
      <c r="G21" s="5"/>
      <c r="H21" s="5"/>
      <c r="J21" t="str">
        <f t="shared" si="1"/>
        <v xml:space="preserve">    ,SHOW_ID VARCHAR (20)  COMMENT  '게시 아이디'</v>
      </c>
    </row>
    <row r="22" spans="2:10" x14ac:dyDescent="0.4">
      <c r="B22" s="5" t="s">
        <v>73</v>
      </c>
      <c r="C22" s="5" t="s">
        <v>89</v>
      </c>
      <c r="D22" s="5" t="s">
        <v>97</v>
      </c>
      <c r="E22" s="5"/>
      <c r="F22" s="5"/>
      <c r="G22" s="5"/>
      <c r="H22" s="5"/>
      <c r="J22" t="str">
        <f t="shared" si="1"/>
        <v xml:space="preserve">    ,SHOW_DTM DATETIME   COMMENT  '게시일시'</v>
      </c>
    </row>
    <row r="23" spans="2:10" x14ac:dyDescent="0.4">
      <c r="B23" s="5" t="s">
        <v>74</v>
      </c>
      <c r="C23" s="5" t="s">
        <v>90</v>
      </c>
      <c r="D23" s="5" t="s">
        <v>13</v>
      </c>
      <c r="E23" s="5">
        <v>20</v>
      </c>
      <c r="F23" s="5"/>
      <c r="G23" s="5"/>
      <c r="H23" s="5"/>
      <c r="J23" t="str">
        <f t="shared" si="1"/>
        <v xml:space="preserve">    ,CANCEL_ID VARCHAR (20)  COMMENT  '게시취소 아이디'</v>
      </c>
    </row>
    <row r="24" spans="2:10" x14ac:dyDescent="0.4">
      <c r="B24" s="5" t="s">
        <v>75</v>
      </c>
      <c r="C24" s="5" t="s">
        <v>91</v>
      </c>
      <c r="D24" s="5" t="s">
        <v>97</v>
      </c>
      <c r="E24" s="5"/>
      <c r="F24" s="5"/>
      <c r="G24" s="5"/>
      <c r="H24" s="5"/>
      <c r="J24" t="str">
        <f t="shared" si="1"/>
        <v xml:space="preserve">    ,CANCEL_DTM DATETIME   COMMENT  '게시취소일시'</v>
      </c>
    </row>
    <row r="25" spans="2:10" x14ac:dyDescent="0.4">
      <c r="B25" s="5" t="s">
        <v>77</v>
      </c>
      <c r="C25" s="5" t="s">
        <v>93</v>
      </c>
      <c r="D25" s="5" t="s">
        <v>13</v>
      </c>
      <c r="E25" s="5">
        <v>20</v>
      </c>
      <c r="F25" s="5"/>
      <c r="G25" s="5"/>
      <c r="H25" s="5"/>
      <c r="J25" t="str">
        <f t="shared" si="1"/>
        <v xml:space="preserve">    ,DEL_ID VARCHAR (20)  COMMENT  '삭제 아이디'</v>
      </c>
    </row>
    <row r="26" spans="2:10" x14ac:dyDescent="0.4">
      <c r="B26" s="5" t="s">
        <v>78</v>
      </c>
      <c r="C26" s="5" t="s">
        <v>94</v>
      </c>
      <c r="D26" s="5" t="s">
        <v>97</v>
      </c>
      <c r="E26" s="5"/>
      <c r="F26" s="5"/>
      <c r="G26" s="5"/>
      <c r="H26" s="5"/>
      <c r="J26" t="str">
        <f t="shared" si="1"/>
        <v xml:space="preserve">    ,DEL_DTM DATETIME   COMMENT  '삭제일시'</v>
      </c>
    </row>
    <row r="27" spans="2:10" x14ac:dyDescent="0.4">
      <c r="J27" t="str">
        <f xml:space="preserve"> ")"</f>
        <v>)</v>
      </c>
    </row>
    <row r="28" spans="2:10" x14ac:dyDescent="0.4">
      <c r="J28" t="str">
        <f xml:space="preserve"> "COMMENT = '" &amp;C3&amp; "';  "</f>
        <v xml:space="preserve">COMMENT = '환경뉴스';  </v>
      </c>
    </row>
  </sheetData>
  <mergeCells count="1">
    <mergeCell ref="C3:H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DC29-9158-4DB3-91C6-9027C66BA770}">
  <dimension ref="B3:J29"/>
  <sheetViews>
    <sheetView topLeftCell="A7" workbookViewId="0">
      <selection activeCell="B10" sqref="B10:C10"/>
    </sheetView>
  </sheetViews>
  <sheetFormatPr defaultRowHeight="17.399999999999999" x14ac:dyDescent="0.4"/>
  <cols>
    <col min="2" max="2" width="27.09765625" bestFit="1" customWidth="1"/>
    <col min="3" max="3" width="30.296875" bestFit="1" customWidth="1"/>
    <col min="4" max="4" width="13" bestFit="1" customWidth="1"/>
    <col min="6" max="6" width="10.19921875" bestFit="1" customWidth="1"/>
    <col min="10" max="10" width="48.69921875" bestFit="1" customWidth="1"/>
  </cols>
  <sheetData>
    <row r="3" spans="2:10" x14ac:dyDescent="0.4">
      <c r="B3" s="5" t="str">
        <f>'테이블 리스트'!B4</f>
        <v>CRBN_HOT_NEWS</v>
      </c>
      <c r="C3" s="9" t="str">
        <f>'테이블 리스트'!C4</f>
        <v>기관 핫뉴스</v>
      </c>
      <c r="D3" s="10"/>
      <c r="E3" s="10"/>
      <c r="F3" s="10"/>
      <c r="G3" s="10"/>
      <c r="H3" s="10"/>
      <c r="J3" t="str">
        <f>"CREATE TABLE " &amp; B3</f>
        <v>CREATE TABLE CRBN_HOT_NEWS</v>
      </c>
    </row>
    <row r="4" spans="2:10" x14ac:dyDescent="0.4">
      <c r="B4" s="5" t="s">
        <v>0</v>
      </c>
      <c r="C4" s="4" t="s">
        <v>1</v>
      </c>
      <c r="D4" s="5" t="s">
        <v>2</v>
      </c>
      <c r="E4" s="5" t="s">
        <v>3</v>
      </c>
      <c r="F4" s="5" t="s">
        <v>5</v>
      </c>
      <c r="G4" s="5" t="s">
        <v>4</v>
      </c>
      <c r="H4" s="5" t="s">
        <v>41</v>
      </c>
      <c r="J4" t="str">
        <f>"("</f>
        <v>(</v>
      </c>
    </row>
    <row r="5" spans="2:10" x14ac:dyDescent="0.4">
      <c r="B5" s="5" t="s">
        <v>62</v>
      </c>
      <c r="C5" s="5" t="s">
        <v>79</v>
      </c>
      <c r="D5" s="5" t="s">
        <v>95</v>
      </c>
      <c r="E5" s="5"/>
      <c r="F5" s="5" t="s">
        <v>37</v>
      </c>
      <c r="G5" s="5" t="s">
        <v>8</v>
      </c>
      <c r="H5" s="5"/>
      <c r="J5" t="str">
        <f>"     " &amp;B5 &amp; " " &amp; D5 &amp; IF(E5&lt;&gt;"","("&amp;E5&amp;") "," ") &amp; IF(F5="N","NOT NULL ","")&amp;" primary key auto_increment  COMMENT " &amp; " '" &amp; C5 &amp; "'"</f>
        <v xml:space="preserve">     DOC_SEQ INT NOT NULL  primary key auto_increment  COMMENT  '문서순번'</v>
      </c>
    </row>
    <row r="6" spans="2:10" x14ac:dyDescent="0.4">
      <c r="B6" s="1" t="s">
        <v>123</v>
      </c>
      <c r="C6" s="1" t="s">
        <v>115</v>
      </c>
      <c r="D6" s="1" t="s">
        <v>13</v>
      </c>
      <c r="E6" s="1">
        <v>20</v>
      </c>
      <c r="F6" s="1" t="s">
        <v>37</v>
      </c>
      <c r="G6" s="1"/>
      <c r="H6" s="1"/>
      <c r="J6" t="str">
        <f t="shared" ref="J6" si="0">"    ,"&amp;B6&amp;" "&amp;D6&amp;" " &amp; IF(E6&lt;&gt;"","("&amp;E6&amp;") "," ") &amp; IF(F6="N","NOT NULL ","") &amp;" COMMENT "&amp;" '"&amp;C6&amp;"'"</f>
        <v xml:space="preserve">    ,PARTY_CD VARCHAR (20) NOT NULL  COMMENT  '소속코드'</v>
      </c>
    </row>
    <row r="7" spans="2:10" x14ac:dyDescent="0.4">
      <c r="B7" s="5" t="s">
        <v>59</v>
      </c>
      <c r="C7" s="5" t="s">
        <v>80</v>
      </c>
      <c r="D7" s="5" t="s">
        <v>13</v>
      </c>
      <c r="E7" s="5">
        <v>200</v>
      </c>
      <c r="F7" s="5" t="s">
        <v>37</v>
      </c>
      <c r="G7" s="5"/>
      <c r="H7" s="5"/>
      <c r="J7" t="str">
        <f t="shared" ref="J7:J27" si="1">"    ,"&amp;B7&amp;" "&amp;D7&amp;" " &amp; IF(E7&lt;&gt;"","("&amp;E7&amp;") "," ") &amp; IF(F7="N","NOT NULL ","") &amp;" COMMENT "&amp;" '"&amp;C7&amp;"'"</f>
        <v xml:space="preserve">    ,DOC_TITLE VARCHAR (200) NOT NULL  COMMENT  '제목'</v>
      </c>
    </row>
    <row r="8" spans="2:10" x14ac:dyDescent="0.4">
      <c r="B8" s="5" t="s">
        <v>63</v>
      </c>
      <c r="C8" s="5" t="s">
        <v>81</v>
      </c>
      <c r="D8" s="5" t="s">
        <v>13</v>
      </c>
      <c r="E8" s="5">
        <v>1</v>
      </c>
      <c r="F8" s="5" t="s">
        <v>37</v>
      </c>
      <c r="G8" s="5"/>
      <c r="H8" s="5"/>
      <c r="J8" t="str">
        <f t="shared" si="1"/>
        <v xml:space="preserve">    ,IMG_VIEW_IND VARCHAR (1) NOT NULL  COMMENT  '이미지구분'</v>
      </c>
    </row>
    <row r="9" spans="2:10" x14ac:dyDescent="0.4">
      <c r="B9" s="5" t="s">
        <v>64</v>
      </c>
      <c r="C9" s="5" t="s">
        <v>82</v>
      </c>
      <c r="D9" s="5" t="s">
        <v>13</v>
      </c>
      <c r="E9" s="5">
        <v>200</v>
      </c>
      <c r="F9" s="5" t="s">
        <v>37</v>
      </c>
      <c r="G9" s="5"/>
      <c r="H9" s="5"/>
      <c r="J9" t="str">
        <f t="shared" si="1"/>
        <v xml:space="preserve">    ,IMG_SRC_NM VARCHAR (200) NOT NULL  COMMENT  '이미지 원래이름'</v>
      </c>
    </row>
    <row r="10" spans="2:10" x14ac:dyDescent="0.4">
      <c r="B10" s="5" t="s">
        <v>65</v>
      </c>
      <c r="C10" s="5" t="s">
        <v>129</v>
      </c>
      <c r="D10" s="5" t="s">
        <v>13</v>
      </c>
      <c r="E10" s="5">
        <v>200</v>
      </c>
      <c r="F10" s="5" t="s">
        <v>37</v>
      </c>
      <c r="G10" s="5"/>
      <c r="H10" s="5"/>
      <c r="J10" t="str">
        <f t="shared" si="1"/>
        <v xml:space="preserve">    ,IMG_NAIL_NM VARCHAR (200) NOT NULL  COMMENT  '이미지네일이름'</v>
      </c>
    </row>
    <row r="11" spans="2:10" x14ac:dyDescent="0.4">
      <c r="B11" s="5" t="s">
        <v>66</v>
      </c>
      <c r="C11" s="5" t="s">
        <v>83</v>
      </c>
      <c r="D11" s="5" t="s">
        <v>96</v>
      </c>
      <c r="E11" s="5"/>
      <c r="F11" s="5"/>
      <c r="G11" s="5"/>
      <c r="H11" s="5"/>
      <c r="J11" t="str">
        <f t="shared" si="1"/>
        <v xml:space="preserve">    ,DOC_INFO MEDIUMTEXT   COMMENT  '문서내용'</v>
      </c>
    </row>
    <row r="12" spans="2:10" x14ac:dyDescent="0.4">
      <c r="B12" s="5" t="s">
        <v>67</v>
      </c>
      <c r="C12" s="5" t="s">
        <v>84</v>
      </c>
      <c r="D12" s="5" t="s">
        <v>13</v>
      </c>
      <c r="E12" s="5">
        <v>200</v>
      </c>
      <c r="F12" s="5"/>
      <c r="G12" s="5"/>
      <c r="H12" s="5"/>
      <c r="J12" t="str">
        <f t="shared" si="1"/>
        <v xml:space="preserve">    ,DOC_FROM VARCHAR (200)  COMMENT  '문서 출처'</v>
      </c>
    </row>
    <row r="13" spans="2:10" x14ac:dyDescent="0.4">
      <c r="B13" s="5" t="s">
        <v>68</v>
      </c>
      <c r="C13" s="5" t="s">
        <v>85</v>
      </c>
      <c r="D13" s="5" t="s">
        <v>95</v>
      </c>
      <c r="E13" s="5"/>
      <c r="F13" s="5"/>
      <c r="G13" s="5"/>
      <c r="H13" s="5"/>
      <c r="J13" t="str">
        <f>"    ,"&amp;B13&amp;" "&amp;D13&amp;" " &amp; IF(E13&lt;&gt;"","("&amp;E13&amp;") "," ") &amp; IF(F13="N","NOT NULL ","") &amp;" DEFAULT 0 COMMENT "&amp;" '"&amp;C13&amp;"'"</f>
        <v xml:space="preserve">    ,DOC_READ INT   DEFAULT 0 COMMENT  '읽은건수'</v>
      </c>
    </row>
    <row r="14" spans="2:10" x14ac:dyDescent="0.4">
      <c r="B14" s="5" t="s">
        <v>103</v>
      </c>
      <c r="C14" s="5" t="s">
        <v>98</v>
      </c>
      <c r="D14" s="5" t="s">
        <v>95</v>
      </c>
      <c r="E14" s="5"/>
      <c r="F14" s="5"/>
      <c r="G14" s="5"/>
      <c r="H14" s="5"/>
      <c r="J14" t="str">
        <f>"    ,"&amp;B14&amp;" "&amp;D14&amp;" " &amp; IF(E14&lt;&gt;"","("&amp;E14&amp;") "," ") &amp; IF(F14="N","NOT NULL ","") &amp;" DEFAULT 0 COMMENT "&amp;" '"&amp;C14&amp;"'"</f>
        <v xml:space="preserve">    ,DOC_RCMND INT   DEFAULT 0 COMMENT  '추천해요 건수'</v>
      </c>
    </row>
    <row r="15" spans="2:10" x14ac:dyDescent="0.4">
      <c r="B15" s="5" t="s">
        <v>69</v>
      </c>
      <c r="C15" s="5" t="s">
        <v>86</v>
      </c>
      <c r="D15" s="5" t="s">
        <v>95</v>
      </c>
      <c r="E15" s="5"/>
      <c r="F15" s="5"/>
      <c r="G15" s="5"/>
      <c r="H15" s="5"/>
      <c r="J15" t="str">
        <f>"    ,"&amp;B15&amp;" "&amp;D15&amp;" " &amp; IF(E15&lt;&gt;"","("&amp;E15&amp;") "," ") &amp; IF(F15="N","NOT NULL ","") &amp;" DEFAULT 0 COMMENT "&amp;" '"&amp;C15&amp;"'"</f>
        <v xml:space="preserve">    ,DOC_LIKE INT   DEFAULT 0 COMMENT  '좋아요 건수'</v>
      </c>
    </row>
    <row r="16" spans="2:10" x14ac:dyDescent="0.4">
      <c r="B16" s="5" t="s">
        <v>102</v>
      </c>
      <c r="C16" s="5" t="s">
        <v>99</v>
      </c>
      <c r="D16" s="5" t="s">
        <v>95</v>
      </c>
      <c r="E16" s="5"/>
      <c r="F16" s="5"/>
      <c r="G16" s="5"/>
      <c r="H16" s="5"/>
      <c r="J16" t="str">
        <f>"    ,"&amp;B16&amp;" "&amp;D16&amp;" " &amp; IF(E16&lt;&gt;"","("&amp;E16&amp;") "," ") &amp; IF(F16="N","NOT NULL ","") &amp;" DEFAULT 0 COMMENT "&amp;" '"&amp;C16&amp;"'"</f>
        <v xml:space="preserve">    ,DOC_SAD INT   DEFAULT 0 COMMENT  '슬퍼요 건수'</v>
      </c>
    </row>
    <row r="17" spans="2:10" x14ac:dyDescent="0.4">
      <c r="B17" s="5" t="s">
        <v>101</v>
      </c>
      <c r="C17" s="5" t="s">
        <v>100</v>
      </c>
      <c r="D17" s="5" t="s">
        <v>95</v>
      </c>
      <c r="E17" s="5"/>
      <c r="F17" s="5"/>
      <c r="G17" s="5"/>
      <c r="H17" s="5"/>
      <c r="J17" t="str">
        <f>"    ,"&amp;B17&amp;" "&amp;D17&amp;" " &amp; IF(E17&lt;&gt;"","("&amp;E17&amp;") "," ") &amp; IF(F17="N","NOT NULL ","") &amp;" DEFAULT 0 COMMENT "&amp;" '"&amp;C17&amp;"'"</f>
        <v xml:space="preserve">    ,DOC_ANGRY INT   DEFAULT 0 COMMENT  '화나요 건수'</v>
      </c>
    </row>
    <row r="18" spans="2:10" x14ac:dyDescent="0.4">
      <c r="B18" s="5" t="s">
        <v>70</v>
      </c>
      <c r="C18" s="5" t="s">
        <v>122</v>
      </c>
      <c r="D18" s="5" t="s">
        <v>13</v>
      </c>
      <c r="E18" s="5">
        <v>1</v>
      </c>
      <c r="F18" s="1" t="s">
        <v>37</v>
      </c>
      <c r="G18" s="5"/>
      <c r="H18" s="5"/>
      <c r="J18" t="str">
        <f>"    ,"&amp;B18&amp;" "&amp;D18&amp;" " &amp; IF(E18&lt;&gt;"","("&amp;E18&amp;") "," ") &amp; IF(F18="N","NOT NULL DEFAULT 'N' ","") &amp;" COMMENT "&amp;" '"&amp;C18&amp;"'"</f>
        <v xml:space="preserve">    ,DOC_STAT VARCHAR (1) NOT NULL DEFAULT 'N'  COMMENT  '문서상태(N:등록, V:게시, C:게시취소)'</v>
      </c>
    </row>
    <row r="19" spans="2:10" x14ac:dyDescent="0.4">
      <c r="B19" s="5" t="s">
        <v>71</v>
      </c>
      <c r="C19" s="5" t="s">
        <v>87</v>
      </c>
      <c r="D19" s="5" t="s">
        <v>13</v>
      </c>
      <c r="E19" s="5">
        <v>20</v>
      </c>
      <c r="F19" s="5"/>
      <c r="G19" s="5"/>
      <c r="H19" s="5"/>
      <c r="J19" t="str">
        <f t="shared" si="1"/>
        <v xml:space="preserve">    ,REG_ID VARCHAR (20)  COMMENT  '등록자ID'</v>
      </c>
    </row>
    <row r="20" spans="2:10" x14ac:dyDescent="0.4">
      <c r="B20" s="1" t="s">
        <v>9</v>
      </c>
      <c r="C20" s="1" t="s">
        <v>10</v>
      </c>
      <c r="D20" s="5" t="s">
        <v>97</v>
      </c>
      <c r="E20" s="5"/>
      <c r="F20" s="1" t="s">
        <v>37</v>
      </c>
      <c r="G20" s="1"/>
      <c r="H20" s="1"/>
      <c r="J20" t="str">
        <f>"    ,"&amp;B20&amp;" "&amp;D20&amp;" " &amp; IF(E20&lt;&gt;"","("&amp;E20&amp;") "," ") &amp; IF(F20="N","NOT NULL DEFAULT CURRENT_TIMESTAMP  ","") &amp;" COMMENT "&amp;" '"&amp;C20&amp;"'"</f>
        <v xml:space="preserve">    ,CRE_DTM DATETIME  NOT NULL DEFAULT CURRENT_TIMESTAMP   COMMENT  '생성일시'</v>
      </c>
    </row>
    <row r="21" spans="2:10" x14ac:dyDescent="0.4">
      <c r="B21" s="5" t="s">
        <v>72</v>
      </c>
      <c r="C21" s="5" t="s">
        <v>88</v>
      </c>
      <c r="D21" s="5" t="s">
        <v>13</v>
      </c>
      <c r="E21" s="5">
        <v>20</v>
      </c>
      <c r="F21" s="5"/>
      <c r="G21" s="5"/>
      <c r="H21" s="5"/>
      <c r="J21" t="str">
        <f t="shared" si="1"/>
        <v xml:space="preserve">    ,SHOW_ID VARCHAR (20)  COMMENT  '게시 아이디'</v>
      </c>
    </row>
    <row r="22" spans="2:10" x14ac:dyDescent="0.4">
      <c r="B22" s="5" t="s">
        <v>73</v>
      </c>
      <c r="C22" s="5" t="s">
        <v>89</v>
      </c>
      <c r="D22" s="5" t="s">
        <v>97</v>
      </c>
      <c r="E22" s="5"/>
      <c r="F22" s="5"/>
      <c r="G22" s="5"/>
      <c r="H22" s="5"/>
      <c r="J22" t="str">
        <f t="shared" si="1"/>
        <v xml:space="preserve">    ,SHOW_DTM DATETIME   COMMENT  '게시일시'</v>
      </c>
    </row>
    <row r="23" spans="2:10" x14ac:dyDescent="0.4">
      <c r="B23" s="5" t="s">
        <v>74</v>
      </c>
      <c r="C23" s="5" t="s">
        <v>90</v>
      </c>
      <c r="D23" s="5" t="s">
        <v>13</v>
      </c>
      <c r="E23" s="5">
        <v>20</v>
      </c>
      <c r="F23" s="5"/>
      <c r="G23" s="5"/>
      <c r="H23" s="5"/>
      <c r="J23" t="str">
        <f t="shared" si="1"/>
        <v xml:space="preserve">    ,CANCEL_ID VARCHAR (20)  COMMENT  '게시취소 아이디'</v>
      </c>
    </row>
    <row r="24" spans="2:10" x14ac:dyDescent="0.4">
      <c r="B24" s="5" t="s">
        <v>75</v>
      </c>
      <c r="C24" s="5" t="s">
        <v>91</v>
      </c>
      <c r="D24" s="5" t="s">
        <v>97</v>
      </c>
      <c r="E24" s="5"/>
      <c r="F24" s="5"/>
      <c r="G24" s="5"/>
      <c r="H24" s="5"/>
      <c r="J24" t="str">
        <f t="shared" si="1"/>
        <v xml:space="preserve">    ,CANCEL_DTM DATETIME   COMMENT  '게시취소일시'</v>
      </c>
    </row>
    <row r="25" spans="2:10" x14ac:dyDescent="0.4">
      <c r="B25" s="5" t="s">
        <v>76</v>
      </c>
      <c r="C25" s="5" t="s">
        <v>92</v>
      </c>
      <c r="D25" s="5" t="s">
        <v>13</v>
      </c>
      <c r="E25" s="5">
        <v>1</v>
      </c>
      <c r="F25" s="5"/>
      <c r="G25" s="5"/>
      <c r="H25" s="5"/>
      <c r="J25" t="str">
        <f t="shared" si="1"/>
        <v xml:space="preserve">    ,DEL_YN VARCHAR (1)  COMMENT  '삭제여부'</v>
      </c>
    </row>
    <row r="26" spans="2:10" x14ac:dyDescent="0.4">
      <c r="B26" s="5" t="s">
        <v>77</v>
      </c>
      <c r="C26" s="5" t="s">
        <v>93</v>
      </c>
      <c r="D26" s="5" t="s">
        <v>13</v>
      </c>
      <c r="E26" s="5">
        <v>20</v>
      </c>
      <c r="F26" s="5"/>
      <c r="G26" s="5"/>
      <c r="H26" s="5"/>
      <c r="J26" t="str">
        <f t="shared" si="1"/>
        <v xml:space="preserve">    ,DEL_ID VARCHAR (20)  COMMENT  '삭제 아이디'</v>
      </c>
    </row>
    <row r="27" spans="2:10" x14ac:dyDescent="0.4">
      <c r="B27" s="5" t="s">
        <v>78</v>
      </c>
      <c r="C27" s="5" t="s">
        <v>94</v>
      </c>
      <c r="D27" s="5" t="s">
        <v>97</v>
      </c>
      <c r="E27" s="5"/>
      <c r="F27" s="5"/>
      <c r="G27" s="5"/>
      <c r="H27" s="5"/>
      <c r="J27" t="str">
        <f t="shared" si="1"/>
        <v xml:space="preserve">    ,DEL_DTM DATETIME   COMMENT  '삭제일시'</v>
      </c>
    </row>
    <row r="28" spans="2:10" x14ac:dyDescent="0.4">
      <c r="J28" t="str">
        <f xml:space="preserve"> ")"</f>
        <v>)</v>
      </c>
    </row>
    <row r="29" spans="2:10" x14ac:dyDescent="0.4">
      <c r="J29" t="str">
        <f xml:space="preserve"> "COMMENT = '" &amp;C3&amp; "';  "</f>
        <v xml:space="preserve">COMMENT = '기관 핫뉴스';  </v>
      </c>
    </row>
  </sheetData>
  <mergeCells count="1">
    <mergeCell ref="C3:H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AB0B-F028-47BA-853B-58F21F6B11A9}">
  <dimension ref="B3:J25"/>
  <sheetViews>
    <sheetView workbookViewId="0">
      <selection activeCell="B10" sqref="B10:C10"/>
    </sheetView>
  </sheetViews>
  <sheetFormatPr defaultRowHeight="17.399999999999999" x14ac:dyDescent="0.4"/>
  <cols>
    <col min="2" max="2" width="27.09765625" bestFit="1" customWidth="1"/>
    <col min="3" max="3" width="31.8984375" bestFit="1" customWidth="1"/>
    <col min="4" max="4" width="13" bestFit="1" customWidth="1"/>
    <col min="6" max="6" width="10.19921875" bestFit="1" customWidth="1"/>
    <col min="10" max="10" width="48.69921875" bestFit="1" customWidth="1"/>
  </cols>
  <sheetData>
    <row r="3" spans="2:10" x14ac:dyDescent="0.4">
      <c r="B3" s="5" t="str">
        <f>'테이블 리스트'!B5</f>
        <v>CRBN_EVENT_INFO</v>
      </c>
      <c r="C3" s="9" t="str">
        <f>'테이블 리스트'!C5</f>
        <v>이벤트</v>
      </c>
      <c r="D3" s="10"/>
      <c r="E3" s="10"/>
      <c r="F3" s="10"/>
      <c r="G3" s="10"/>
      <c r="H3" s="10"/>
      <c r="J3" t="str">
        <f>"CREATE TABLE " &amp; B3</f>
        <v>CREATE TABLE CRBN_EVENT_INFO</v>
      </c>
    </row>
    <row r="4" spans="2:10" x14ac:dyDescent="0.4">
      <c r="B4" s="5" t="s">
        <v>0</v>
      </c>
      <c r="C4" s="4" t="s">
        <v>1</v>
      </c>
      <c r="D4" s="5" t="s">
        <v>2</v>
      </c>
      <c r="E4" s="5" t="s">
        <v>3</v>
      </c>
      <c r="F4" s="5" t="s">
        <v>5</v>
      </c>
      <c r="G4" s="5" t="s">
        <v>4</v>
      </c>
      <c r="H4" s="5" t="s">
        <v>41</v>
      </c>
      <c r="J4" t="str">
        <f>"("</f>
        <v>(</v>
      </c>
    </row>
    <row r="5" spans="2:10" x14ac:dyDescent="0.4">
      <c r="B5" s="1" t="s">
        <v>118</v>
      </c>
      <c r="C5" s="5" t="s">
        <v>79</v>
      </c>
      <c r="D5" s="5" t="s">
        <v>95</v>
      </c>
      <c r="E5" s="5"/>
      <c r="F5" s="5" t="s">
        <v>37</v>
      </c>
      <c r="G5" s="5" t="s">
        <v>8</v>
      </c>
      <c r="H5" s="5"/>
      <c r="J5" t="str">
        <f>"     " &amp;B5 &amp; " " &amp; D5 &amp; IF(E5&lt;&gt;"","("&amp;E5&amp;") "," ") &amp; IF(F5="N","NOT NULL ","")&amp;" primary key auto_increment  COMMENT " &amp; " '" &amp; C5 &amp; "'"</f>
        <v xml:space="preserve">     DOC_SEQ INT NOT NULL  primary key auto_increment  COMMENT  '문서순번'</v>
      </c>
    </row>
    <row r="6" spans="2:10" x14ac:dyDescent="0.4">
      <c r="B6" s="1" t="s">
        <v>123</v>
      </c>
      <c r="C6" s="1" t="s">
        <v>115</v>
      </c>
      <c r="D6" s="1" t="s">
        <v>13</v>
      </c>
      <c r="E6" s="1">
        <v>20</v>
      </c>
      <c r="F6" s="1" t="s">
        <v>37</v>
      </c>
      <c r="G6" s="1"/>
      <c r="H6" s="1"/>
      <c r="J6" t="str">
        <f t="shared" ref="J6" si="0">"    ,"&amp;B6&amp;" "&amp;D6&amp;" " &amp; IF(E6&lt;&gt;"","("&amp;E6&amp;") "," ") &amp; IF(F6="N","NOT NULL ","") &amp;" COMMENT "&amp;" '"&amp;C6&amp;"'"</f>
        <v xml:space="preserve">    ,PARTY_CD VARCHAR (20) NOT NULL  COMMENT  '소속코드'</v>
      </c>
    </row>
    <row r="7" spans="2:10" x14ac:dyDescent="0.4">
      <c r="B7" s="5" t="s">
        <v>59</v>
      </c>
      <c r="C7" s="5" t="s">
        <v>80</v>
      </c>
      <c r="D7" s="5" t="s">
        <v>13</v>
      </c>
      <c r="E7" s="5">
        <v>200</v>
      </c>
      <c r="F7" s="5" t="s">
        <v>37</v>
      </c>
      <c r="G7" s="5"/>
      <c r="H7" s="5"/>
      <c r="J7" t="str">
        <f t="shared" ref="J7:J23" si="1">"    ,"&amp;B7&amp;" "&amp;D7&amp;" " &amp; IF(E7&lt;&gt;"","("&amp;E7&amp;") "," ") &amp; IF(F7="N","NOT NULL ","") &amp;" COMMENT "&amp;" '"&amp;C7&amp;"'"</f>
        <v xml:space="preserve">    ,DOC_TITLE VARCHAR (200) NOT NULL  COMMENT  '제목'</v>
      </c>
    </row>
    <row r="8" spans="2:10" x14ac:dyDescent="0.4">
      <c r="B8" s="5" t="s">
        <v>63</v>
      </c>
      <c r="C8" s="5" t="s">
        <v>81</v>
      </c>
      <c r="D8" s="5" t="s">
        <v>13</v>
      </c>
      <c r="E8" s="5">
        <v>1</v>
      </c>
      <c r="F8" s="5" t="s">
        <v>37</v>
      </c>
      <c r="G8" s="5"/>
      <c r="H8" s="5"/>
      <c r="J8" t="str">
        <f t="shared" si="1"/>
        <v xml:space="preserve">    ,IMG_VIEW_IND VARCHAR (1) NOT NULL  COMMENT  '이미지구분'</v>
      </c>
    </row>
    <row r="9" spans="2:10" x14ac:dyDescent="0.4">
      <c r="B9" s="5" t="s">
        <v>64</v>
      </c>
      <c r="C9" s="5" t="s">
        <v>82</v>
      </c>
      <c r="D9" s="5" t="s">
        <v>13</v>
      </c>
      <c r="E9" s="5">
        <v>200</v>
      </c>
      <c r="F9" s="5" t="s">
        <v>37</v>
      </c>
      <c r="G9" s="5"/>
      <c r="H9" s="5"/>
      <c r="J9" t="str">
        <f t="shared" si="1"/>
        <v xml:space="preserve">    ,IMG_SRC_NM VARCHAR (200) NOT NULL  COMMENT  '이미지 원래이름'</v>
      </c>
    </row>
    <row r="10" spans="2:10" x14ac:dyDescent="0.4">
      <c r="B10" s="5" t="s">
        <v>65</v>
      </c>
      <c r="C10" s="5" t="s">
        <v>129</v>
      </c>
      <c r="D10" s="5" t="s">
        <v>13</v>
      </c>
      <c r="E10" s="5">
        <v>200</v>
      </c>
      <c r="F10" s="5" t="s">
        <v>37</v>
      </c>
      <c r="G10" s="5"/>
      <c r="H10" s="5"/>
      <c r="J10" t="str">
        <f t="shared" si="1"/>
        <v xml:space="preserve">    ,IMG_NAIL_NM VARCHAR (200) NOT NULL  COMMENT  '이미지네일이름'</v>
      </c>
    </row>
    <row r="11" spans="2:10" x14ac:dyDescent="0.4">
      <c r="B11" s="5" t="s">
        <v>66</v>
      </c>
      <c r="C11" s="5" t="s">
        <v>106</v>
      </c>
      <c r="D11" s="5" t="s">
        <v>96</v>
      </c>
      <c r="E11" s="5"/>
      <c r="F11" s="5"/>
      <c r="G11" s="5"/>
      <c r="H11" s="5"/>
      <c r="J11" t="str">
        <f t="shared" si="1"/>
        <v xml:space="preserve">    ,DOC_INFO MEDIUMTEXT   COMMENT  '이벤트 내용'</v>
      </c>
    </row>
    <row r="12" spans="2:10" x14ac:dyDescent="0.4">
      <c r="B12" s="5" t="s">
        <v>68</v>
      </c>
      <c r="C12" s="5" t="s">
        <v>85</v>
      </c>
      <c r="D12" s="5" t="s">
        <v>95</v>
      </c>
      <c r="E12" s="5"/>
      <c r="F12" s="5"/>
      <c r="G12" s="5"/>
      <c r="H12" s="5"/>
      <c r="J12" t="str">
        <f>"    ,"&amp;B12&amp;" "&amp;D12&amp;" " &amp; IF(E12&lt;&gt;"","("&amp;E12&amp;") "," ") &amp; IF(F12="N","NOT NULL ","") &amp;" DEFAULT 0 COMMENT "&amp;" '"&amp;C12&amp;"'"</f>
        <v xml:space="preserve">    ,DOC_READ INT   DEFAULT 0 COMMENT  '읽은건수'</v>
      </c>
    </row>
    <row r="13" spans="2:10" x14ac:dyDescent="0.4">
      <c r="B13" s="5" t="s">
        <v>109</v>
      </c>
      <c r="C13" s="5" t="s">
        <v>105</v>
      </c>
      <c r="D13" s="5" t="s">
        <v>95</v>
      </c>
      <c r="E13" s="5"/>
      <c r="F13" s="5"/>
      <c r="G13" s="5"/>
      <c r="H13" s="5"/>
      <c r="J13" t="str">
        <f>"    ,"&amp;B13&amp;" "&amp;D13&amp;" " &amp; IF(E13&lt;&gt;"","("&amp;E13&amp;") "," ") &amp; IF(F13="N","NOT NULL ","") &amp;" DEFAULT 0 COMMENT "&amp;" '"&amp;C13&amp;"'"</f>
        <v xml:space="preserve">    ,EVT_WITH INT   DEFAULT 0 COMMENT  '참여건수'</v>
      </c>
    </row>
    <row r="14" spans="2:10" x14ac:dyDescent="0.4">
      <c r="B14" s="5" t="s">
        <v>70</v>
      </c>
      <c r="C14" s="5" t="s">
        <v>122</v>
      </c>
      <c r="D14" s="5" t="s">
        <v>13</v>
      </c>
      <c r="E14" s="5">
        <v>1</v>
      </c>
      <c r="F14" s="1" t="s">
        <v>37</v>
      </c>
      <c r="G14" s="5"/>
      <c r="H14" s="5"/>
      <c r="J14" t="str">
        <f>"    ,"&amp;B14&amp;" "&amp;D14&amp;" " &amp; IF(E14&lt;&gt;"","("&amp;E14&amp;") "," ") &amp; IF(F14="N","NOT NULL DEFAULT 'N' ","") &amp;" COMMENT "&amp;" '"&amp;C14&amp;"'"</f>
        <v xml:space="preserve">    ,DOC_STAT VARCHAR (1) NOT NULL DEFAULT 'N'  COMMENT  '문서상태(N:등록, V:게시, C:게시취소)'</v>
      </c>
    </row>
    <row r="15" spans="2:10" x14ac:dyDescent="0.4">
      <c r="B15" s="5" t="s">
        <v>71</v>
      </c>
      <c r="C15" s="5" t="s">
        <v>87</v>
      </c>
      <c r="D15" s="5" t="s">
        <v>13</v>
      </c>
      <c r="E15" s="5">
        <v>20</v>
      </c>
      <c r="F15" s="5"/>
      <c r="G15" s="5"/>
      <c r="H15" s="5"/>
      <c r="J15" t="str">
        <f t="shared" si="1"/>
        <v xml:space="preserve">    ,REG_ID VARCHAR (20)  COMMENT  '등록자ID'</v>
      </c>
    </row>
    <row r="16" spans="2:10" x14ac:dyDescent="0.4">
      <c r="B16" s="1" t="s">
        <v>9</v>
      </c>
      <c r="C16" s="1" t="s">
        <v>10</v>
      </c>
      <c r="D16" s="5" t="s">
        <v>97</v>
      </c>
      <c r="E16" s="5"/>
      <c r="F16" s="1" t="s">
        <v>37</v>
      </c>
      <c r="G16" s="1"/>
      <c r="H16" s="1"/>
      <c r="J16" t="str">
        <f>"    ,"&amp;B16&amp;" "&amp;D16&amp;" " &amp; IF(E16&lt;&gt;"","("&amp;E16&amp;") "," ") &amp; IF(F16="N","NOT NULL DEFAULT CURRENT_TIMESTAMP  ","") &amp;" COMMENT "&amp;" '"&amp;C16&amp;"'"</f>
        <v xml:space="preserve">    ,CRE_DTM DATETIME  NOT NULL DEFAULT CURRENT_TIMESTAMP   COMMENT  '생성일시'</v>
      </c>
    </row>
    <row r="17" spans="2:10" x14ac:dyDescent="0.4">
      <c r="B17" s="5" t="s">
        <v>72</v>
      </c>
      <c r="C17" s="5" t="s">
        <v>88</v>
      </c>
      <c r="D17" s="5" t="s">
        <v>13</v>
      </c>
      <c r="E17" s="5">
        <v>20</v>
      </c>
      <c r="F17" s="5"/>
      <c r="G17" s="5"/>
      <c r="H17" s="5"/>
      <c r="J17" t="str">
        <f t="shared" si="1"/>
        <v xml:space="preserve">    ,SHOW_ID VARCHAR (20)  COMMENT  '게시 아이디'</v>
      </c>
    </row>
    <row r="18" spans="2:10" x14ac:dyDescent="0.4">
      <c r="B18" s="5" t="s">
        <v>73</v>
      </c>
      <c r="C18" s="5" t="s">
        <v>89</v>
      </c>
      <c r="D18" s="5" t="s">
        <v>97</v>
      </c>
      <c r="E18" s="5"/>
      <c r="F18" s="5"/>
      <c r="G18" s="5"/>
      <c r="H18" s="5"/>
      <c r="J18" t="str">
        <f t="shared" si="1"/>
        <v xml:space="preserve">    ,SHOW_DTM DATETIME   COMMENT  '게시일시'</v>
      </c>
    </row>
    <row r="19" spans="2:10" x14ac:dyDescent="0.4">
      <c r="B19" s="5" t="s">
        <v>74</v>
      </c>
      <c r="C19" s="5" t="s">
        <v>90</v>
      </c>
      <c r="D19" s="5" t="s">
        <v>13</v>
      </c>
      <c r="E19" s="5">
        <v>20</v>
      </c>
      <c r="F19" s="5"/>
      <c r="G19" s="5"/>
      <c r="H19" s="5"/>
      <c r="J19" t="str">
        <f t="shared" si="1"/>
        <v xml:space="preserve">    ,CANCEL_ID VARCHAR (20)  COMMENT  '게시취소 아이디'</v>
      </c>
    </row>
    <row r="20" spans="2:10" x14ac:dyDescent="0.4">
      <c r="B20" s="5" t="s">
        <v>75</v>
      </c>
      <c r="C20" s="5" t="s">
        <v>91</v>
      </c>
      <c r="D20" s="5" t="s">
        <v>97</v>
      </c>
      <c r="E20" s="5"/>
      <c r="F20" s="5"/>
      <c r="G20" s="5"/>
      <c r="H20" s="5"/>
      <c r="J20" t="str">
        <f t="shared" si="1"/>
        <v xml:space="preserve">    ,CANCEL_DTM DATETIME   COMMENT  '게시취소일시'</v>
      </c>
    </row>
    <row r="21" spans="2:10" x14ac:dyDescent="0.4">
      <c r="B21" s="5" t="s">
        <v>76</v>
      </c>
      <c r="C21" s="5" t="s">
        <v>92</v>
      </c>
      <c r="D21" s="5" t="s">
        <v>13</v>
      </c>
      <c r="E21" s="5">
        <v>1</v>
      </c>
      <c r="F21" s="5"/>
      <c r="G21" s="5"/>
      <c r="H21" s="5"/>
      <c r="J21" t="str">
        <f t="shared" si="1"/>
        <v xml:space="preserve">    ,DEL_YN VARCHAR (1)  COMMENT  '삭제여부'</v>
      </c>
    </row>
    <row r="22" spans="2:10" x14ac:dyDescent="0.4">
      <c r="B22" s="5" t="s">
        <v>77</v>
      </c>
      <c r="C22" s="5" t="s">
        <v>93</v>
      </c>
      <c r="D22" s="5" t="s">
        <v>13</v>
      </c>
      <c r="E22" s="5">
        <v>20</v>
      </c>
      <c r="F22" s="5"/>
      <c r="G22" s="5"/>
      <c r="H22" s="5"/>
      <c r="J22" t="str">
        <f t="shared" si="1"/>
        <v xml:space="preserve">    ,DEL_ID VARCHAR (20)  COMMENT  '삭제 아이디'</v>
      </c>
    </row>
    <row r="23" spans="2:10" x14ac:dyDescent="0.4">
      <c r="B23" s="5" t="s">
        <v>78</v>
      </c>
      <c r="C23" s="5" t="s">
        <v>94</v>
      </c>
      <c r="D23" s="5" t="s">
        <v>97</v>
      </c>
      <c r="E23" s="5"/>
      <c r="F23" s="5"/>
      <c r="G23" s="5"/>
      <c r="H23" s="5"/>
      <c r="J23" t="str">
        <f t="shared" si="1"/>
        <v xml:space="preserve">    ,DEL_DTM DATETIME   COMMENT  '삭제일시'</v>
      </c>
    </row>
    <row r="24" spans="2:10" x14ac:dyDescent="0.4">
      <c r="J24" t="str">
        <f xml:space="preserve"> ")"</f>
        <v>)</v>
      </c>
    </row>
    <row r="25" spans="2:10" x14ac:dyDescent="0.4">
      <c r="J25" t="str">
        <f xml:space="preserve"> "COMMENT = '" &amp;C3&amp; "';  "</f>
        <v xml:space="preserve">COMMENT = '이벤트';  </v>
      </c>
    </row>
  </sheetData>
  <mergeCells count="1">
    <mergeCell ref="C3:H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5E6B8-ADBD-44B8-9FF0-A30D4EBF1629}">
  <dimension ref="B3:J12"/>
  <sheetViews>
    <sheetView workbookViewId="0">
      <selection activeCell="C8" sqref="C8:C9"/>
    </sheetView>
  </sheetViews>
  <sheetFormatPr defaultRowHeight="17.399999999999999" x14ac:dyDescent="0.4"/>
  <cols>
    <col min="2" max="2" width="27.09765625" bestFit="1" customWidth="1"/>
    <col min="3" max="3" width="26.09765625" customWidth="1"/>
    <col min="4" max="4" width="13" bestFit="1" customWidth="1"/>
    <col min="6" max="6" width="10.19921875" bestFit="1" customWidth="1"/>
    <col min="10" max="10" width="48.69921875" bestFit="1" customWidth="1"/>
  </cols>
  <sheetData>
    <row r="3" spans="2:10" x14ac:dyDescent="0.4">
      <c r="B3" s="5" t="str">
        <f>'테이블 리스트'!B6</f>
        <v>CRBN_EVENT_WITH</v>
      </c>
      <c r="C3" s="9" t="str">
        <f>'테이블 리스트'!C6</f>
        <v>이벤트 참여이력</v>
      </c>
      <c r="D3" s="10"/>
      <c r="E3" s="10"/>
      <c r="F3" s="10"/>
      <c r="G3" s="10"/>
      <c r="H3" s="10"/>
      <c r="J3" t="str">
        <f>"CREATE TABLE " &amp; B3</f>
        <v>CREATE TABLE CRBN_EVENT_WITH</v>
      </c>
    </row>
    <row r="4" spans="2:10" x14ac:dyDescent="0.4">
      <c r="B4" s="5" t="s">
        <v>0</v>
      </c>
      <c r="C4" s="4" t="s">
        <v>1</v>
      </c>
      <c r="D4" s="5" t="s">
        <v>2</v>
      </c>
      <c r="E4" s="5" t="s">
        <v>3</v>
      </c>
      <c r="F4" s="5" t="s">
        <v>5</v>
      </c>
      <c r="G4" s="5" t="s">
        <v>4</v>
      </c>
      <c r="H4" s="5" t="s">
        <v>41</v>
      </c>
      <c r="J4" t="str">
        <f>"("</f>
        <v>(</v>
      </c>
    </row>
    <row r="5" spans="2:10" x14ac:dyDescent="0.4">
      <c r="B5" s="1" t="s">
        <v>118</v>
      </c>
      <c r="C5" s="5" t="s">
        <v>79</v>
      </c>
      <c r="D5" s="5" t="s">
        <v>95</v>
      </c>
      <c r="E5" s="5"/>
      <c r="F5" s="5" t="s">
        <v>37</v>
      </c>
      <c r="G5" s="5" t="s">
        <v>8</v>
      </c>
      <c r="H5" s="5"/>
      <c r="J5" t="str">
        <f>"     " &amp;B5 &amp; " " &amp; D5 &amp; IF(E5&lt;&gt;"","("&amp;E5&amp;") "," ") &amp; IF(F5="N","NOT NULL ","")&amp;" primary key auto_increment  COMMENT " &amp; " '" &amp; C5 &amp; "'"</f>
        <v xml:space="preserve">     DOC_SEQ INT NOT NULL  primary key auto_increment  COMMENT  '문서순번'</v>
      </c>
    </row>
    <row r="6" spans="2:10" x14ac:dyDescent="0.4">
      <c r="B6" s="5" t="s">
        <v>104</v>
      </c>
      <c r="C6" s="5" t="s">
        <v>110</v>
      </c>
      <c r="D6" s="5" t="s">
        <v>95</v>
      </c>
      <c r="E6" s="5"/>
      <c r="F6" s="5" t="s">
        <v>37</v>
      </c>
      <c r="G6" s="5"/>
      <c r="H6" s="5"/>
      <c r="J6" t="str">
        <f t="shared" ref="J6:J9" si="0">"    ,"&amp;B6&amp;" "&amp;D6&amp;" " &amp; IF(E6&lt;&gt;"","("&amp;E6&amp;") "," ") &amp; IF(F6="N","NOT NULL ","") &amp;" COMMENT "&amp;" '"&amp;C6&amp;"'"</f>
        <v xml:space="preserve">    ,EVT_SEQ INT  NOT NULL  COMMENT  '이벤트 순번'</v>
      </c>
    </row>
    <row r="7" spans="2:10" x14ac:dyDescent="0.4">
      <c r="B7" s="1" t="s">
        <v>6</v>
      </c>
      <c r="C7" s="2" t="s">
        <v>38</v>
      </c>
      <c r="D7" s="1" t="s">
        <v>13</v>
      </c>
      <c r="E7" s="1">
        <v>20</v>
      </c>
      <c r="F7" s="1" t="s">
        <v>37</v>
      </c>
      <c r="G7" s="5"/>
      <c r="H7" s="5"/>
      <c r="J7" t="str">
        <f t="shared" si="0"/>
        <v xml:space="preserve">    ,MBR_ID VARCHAR (20) NOT NULL  COMMENT  '회원아이디'</v>
      </c>
    </row>
    <row r="8" spans="2:10" x14ac:dyDescent="0.4">
      <c r="B8" s="5" t="s">
        <v>109</v>
      </c>
      <c r="C8" s="5" t="s">
        <v>111</v>
      </c>
      <c r="D8" s="5" t="s">
        <v>13</v>
      </c>
      <c r="E8" s="5">
        <v>1</v>
      </c>
      <c r="F8" s="5"/>
      <c r="G8" s="5"/>
      <c r="H8" s="5"/>
      <c r="J8" t="str">
        <f t="shared" ref="J8" si="1">"    ,"&amp;B8&amp;" "&amp;D8&amp;" " &amp; IF(E8&lt;&gt;"","("&amp;E8&amp;") "," ") &amp; IF(F8="N","NOT NULL ","") &amp;" COMMENT "&amp;" '"&amp;C8&amp;"'"</f>
        <v xml:space="preserve">    ,EVT_WITH VARCHAR (1)  COMMENT  '이벤트 참여'</v>
      </c>
    </row>
    <row r="9" spans="2:10" x14ac:dyDescent="0.4">
      <c r="B9" s="5" t="s">
        <v>113</v>
      </c>
      <c r="C9" s="5" t="s">
        <v>112</v>
      </c>
      <c r="D9" s="5" t="s">
        <v>13</v>
      </c>
      <c r="E9" s="5">
        <v>200</v>
      </c>
      <c r="F9" s="5"/>
      <c r="G9" s="5"/>
      <c r="H9" s="5"/>
      <c r="J9" t="str">
        <f t="shared" si="0"/>
        <v xml:space="preserve">    ,EVT_WITH_ANS VARCHAR (200)  COMMENT  '이벤트 참여 답글'</v>
      </c>
    </row>
    <row r="10" spans="2:10" x14ac:dyDescent="0.4">
      <c r="B10" s="1" t="s">
        <v>9</v>
      </c>
      <c r="C10" s="1" t="s">
        <v>10</v>
      </c>
      <c r="D10" s="5" t="s">
        <v>97</v>
      </c>
      <c r="E10" s="5"/>
      <c r="F10" s="1" t="s">
        <v>37</v>
      </c>
      <c r="G10" s="1"/>
      <c r="H10" s="1"/>
      <c r="J10" t="str">
        <f>"    ,"&amp;B10&amp;" "&amp;D10&amp;" " &amp; IF(E10&lt;&gt;"","("&amp;E10&amp;") "," ") &amp; IF(F10="N","NOT NULL DEFAULT CURRENT_TIMESTAMP  ","") &amp;" COMMENT "&amp;" '"&amp;C10&amp;"'"</f>
        <v xml:space="preserve">    ,CRE_DTM DATETIME  NOT NULL DEFAULT CURRENT_TIMESTAMP   COMMENT  '생성일시'</v>
      </c>
    </row>
    <row r="11" spans="2:10" x14ac:dyDescent="0.4">
      <c r="J11" t="str">
        <f xml:space="preserve"> ")"</f>
        <v>)</v>
      </c>
    </row>
    <row r="12" spans="2:10" x14ac:dyDescent="0.4">
      <c r="J12" t="str">
        <f xml:space="preserve"> "COMMENT = '" &amp;C3&amp; "';  "</f>
        <v xml:space="preserve">COMMENT = '이벤트 참여이력';  </v>
      </c>
    </row>
  </sheetData>
  <mergeCells count="1">
    <mergeCell ref="C3:H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30E9B-C90F-4784-9C9F-29453DECBD43}">
  <dimension ref="B3:J9"/>
  <sheetViews>
    <sheetView workbookViewId="0">
      <selection activeCell="B3" sqref="B3:B7"/>
    </sheetView>
  </sheetViews>
  <sheetFormatPr defaultRowHeight="17.399999999999999" x14ac:dyDescent="0.4"/>
  <cols>
    <col min="2" max="2" width="27.09765625" bestFit="1" customWidth="1"/>
    <col min="3" max="3" width="26.09765625" customWidth="1"/>
    <col min="4" max="4" width="13" bestFit="1" customWidth="1"/>
    <col min="6" max="6" width="10.19921875" bestFit="1" customWidth="1"/>
    <col min="10" max="10" width="48.69921875" bestFit="1" customWidth="1"/>
  </cols>
  <sheetData>
    <row r="3" spans="2:10" x14ac:dyDescent="0.4">
      <c r="B3" s="5" t="str">
        <f>'테이블 리스트'!B7</f>
        <v>CRBN_WINNER</v>
      </c>
      <c r="C3" s="9" t="str">
        <f>'테이블 리스트'!C7</f>
        <v>당첨자</v>
      </c>
      <c r="D3" s="10"/>
      <c r="E3" s="10"/>
      <c r="F3" s="10"/>
      <c r="G3" s="10"/>
      <c r="H3" s="10"/>
      <c r="J3" t="str">
        <f>"CREATE TABLE " &amp; B3</f>
        <v>CREATE TABLE CRBN_WINNER</v>
      </c>
    </row>
    <row r="4" spans="2:10" x14ac:dyDescent="0.4">
      <c r="B4" s="5" t="s">
        <v>0</v>
      </c>
      <c r="C4" s="4" t="s">
        <v>1</v>
      </c>
      <c r="D4" s="5" t="s">
        <v>2</v>
      </c>
      <c r="E4" s="5" t="s">
        <v>3</v>
      </c>
      <c r="F4" s="5" t="s">
        <v>5</v>
      </c>
      <c r="G4" s="5" t="s">
        <v>4</v>
      </c>
      <c r="H4" s="5" t="s">
        <v>41</v>
      </c>
      <c r="J4" t="str">
        <f>"("</f>
        <v>(</v>
      </c>
    </row>
    <row r="5" spans="2:10" x14ac:dyDescent="0.4">
      <c r="B5" s="1" t="s">
        <v>118</v>
      </c>
      <c r="C5" s="5" t="s">
        <v>110</v>
      </c>
      <c r="D5" s="5" t="s">
        <v>95</v>
      </c>
      <c r="E5" s="5"/>
      <c r="F5" s="5" t="s">
        <v>37</v>
      </c>
      <c r="G5" s="5"/>
      <c r="H5" s="5"/>
      <c r="J5" t="str">
        <f>"     " &amp;B5 &amp; " " &amp; D5 &amp; IF(E5&lt;&gt;"","("&amp;E5&amp;") "," ") &amp; IF(F5="N","NOT NULL ","")&amp;" primary key auto_increment  COMMENT " &amp; " '" &amp; C5 &amp; "'"</f>
        <v xml:space="preserve">     DOC_SEQ INT NOT NULL  primary key auto_increment  COMMENT  '이벤트 순번'</v>
      </c>
    </row>
    <row r="6" spans="2:10" x14ac:dyDescent="0.4">
      <c r="B6" s="1" t="s">
        <v>6</v>
      </c>
      <c r="C6" s="2" t="s">
        <v>38</v>
      </c>
      <c r="D6" s="1" t="s">
        <v>13</v>
      </c>
      <c r="E6" s="1">
        <v>20</v>
      </c>
      <c r="F6" s="1" t="s">
        <v>37</v>
      </c>
      <c r="G6" s="5"/>
      <c r="H6" s="5"/>
      <c r="J6" t="str">
        <f t="shared" ref="J6" si="0">"    ,"&amp;B6&amp;" "&amp;D6&amp;" " &amp; IF(E6&lt;&gt;"","("&amp;E6&amp;") "," ") &amp; IF(F6="N","NOT NULL ","") &amp;" COMMENT "&amp;" '"&amp;C6&amp;"'"</f>
        <v xml:space="preserve">    ,MBR_ID VARCHAR (20) NOT NULL  COMMENT  '회원아이디'</v>
      </c>
    </row>
    <row r="7" spans="2:10" x14ac:dyDescent="0.4">
      <c r="B7" s="1" t="s">
        <v>9</v>
      </c>
      <c r="C7" s="1" t="s">
        <v>10</v>
      </c>
      <c r="D7" s="5" t="s">
        <v>97</v>
      </c>
      <c r="E7" s="5"/>
      <c r="F7" s="1" t="s">
        <v>37</v>
      </c>
      <c r="G7" s="1"/>
      <c r="H7" s="1"/>
      <c r="J7" t="str">
        <f>"    ,"&amp;B7&amp;" "&amp;D7&amp;" " &amp; IF(E7&lt;&gt;"","("&amp;E7&amp;") "," ") &amp; IF(F7="N","NOT NULL DEFAULT CURRENT_TIMESTAMP  ","") &amp;" COMMENT "&amp;" '"&amp;C7&amp;"'"</f>
        <v xml:space="preserve">    ,CRE_DTM DATETIME  NOT NULL DEFAULT CURRENT_TIMESTAMP   COMMENT  '생성일시'</v>
      </c>
    </row>
    <row r="8" spans="2:10" x14ac:dyDescent="0.4">
      <c r="J8" t="str">
        <f xml:space="preserve"> ")"</f>
        <v>)</v>
      </c>
    </row>
    <row r="9" spans="2:10" x14ac:dyDescent="0.4">
      <c r="J9" t="str">
        <f xml:space="preserve"> "COMMENT = '" &amp;C3&amp; "';  "</f>
        <v xml:space="preserve">COMMENT = '당첨자';  </v>
      </c>
    </row>
  </sheetData>
  <mergeCells count="1">
    <mergeCell ref="C3:H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FBB27-3781-4E16-A47A-595483061B26}">
  <dimension ref="B3:J21"/>
  <sheetViews>
    <sheetView workbookViewId="0">
      <selection activeCell="J3" sqref="J3:J21"/>
    </sheetView>
  </sheetViews>
  <sheetFormatPr defaultRowHeight="17.399999999999999" x14ac:dyDescent="0.4"/>
  <cols>
    <col min="2" max="2" width="27.09765625" bestFit="1" customWidth="1"/>
    <col min="3" max="3" width="30.296875" bestFit="1" customWidth="1"/>
    <col min="4" max="4" width="13" bestFit="1" customWidth="1"/>
    <col min="6" max="6" width="10.19921875" bestFit="1" customWidth="1"/>
    <col min="10" max="10" width="48.69921875" bestFit="1" customWidth="1"/>
  </cols>
  <sheetData>
    <row r="3" spans="2:10" x14ac:dyDescent="0.4">
      <c r="B3" s="5" t="str">
        <f>'테이블 리스트'!B9</f>
        <v>CRBN_NOTICE</v>
      </c>
      <c r="C3" s="9" t="str">
        <f>'테이블 리스트'!C9</f>
        <v>공지사항</v>
      </c>
      <c r="D3" s="10"/>
      <c r="E3" s="10"/>
      <c r="F3" s="10"/>
      <c r="G3" s="10"/>
      <c r="H3" s="10"/>
      <c r="J3" t="str">
        <f>"CREATE TABLE " &amp; B3</f>
        <v>CREATE TABLE CRBN_NOTICE</v>
      </c>
    </row>
    <row r="4" spans="2:10" x14ac:dyDescent="0.4">
      <c r="B4" s="5" t="s">
        <v>0</v>
      </c>
      <c r="C4" s="4" t="s">
        <v>1</v>
      </c>
      <c r="D4" s="5" t="s">
        <v>2</v>
      </c>
      <c r="E4" s="5" t="s">
        <v>3</v>
      </c>
      <c r="F4" s="5" t="s">
        <v>5</v>
      </c>
      <c r="G4" s="5" t="s">
        <v>4</v>
      </c>
      <c r="H4" s="5" t="s">
        <v>41</v>
      </c>
      <c r="J4" t="str">
        <f>"("</f>
        <v>(</v>
      </c>
    </row>
    <row r="5" spans="2:10" x14ac:dyDescent="0.4">
      <c r="B5" s="1" t="s">
        <v>118</v>
      </c>
      <c r="C5" s="1" t="s">
        <v>19</v>
      </c>
      <c r="D5" s="1" t="s">
        <v>14</v>
      </c>
      <c r="E5" s="1"/>
      <c r="F5" s="5" t="s">
        <v>37</v>
      </c>
      <c r="G5" s="5" t="s">
        <v>8</v>
      </c>
      <c r="H5" s="5"/>
      <c r="J5" t="str">
        <f>"     " &amp;B5 &amp; " " &amp; D5 &amp; IF(E5&lt;&gt;"","("&amp;E5&amp;") "," ") &amp; IF(F5="N","NOT NULL ","")&amp;" primary key auto_increment  COMMENT " &amp; " '" &amp; C5 &amp; "'"</f>
        <v xml:space="preserve">     DOC_SEQ BIGINT NOT NULL  primary key auto_increment  COMMENT  '문서번호'</v>
      </c>
    </row>
    <row r="6" spans="2:10" x14ac:dyDescent="0.4">
      <c r="B6" s="1" t="s">
        <v>123</v>
      </c>
      <c r="C6" s="1" t="s">
        <v>115</v>
      </c>
      <c r="D6" s="1" t="s">
        <v>13</v>
      </c>
      <c r="E6" s="1">
        <v>20</v>
      </c>
      <c r="F6" s="1" t="s">
        <v>37</v>
      </c>
      <c r="G6" s="1"/>
      <c r="H6" s="1"/>
      <c r="J6" t="str">
        <f t="shared" ref="J6" si="0">"    ,"&amp;B6&amp;" "&amp;D6&amp;" " &amp; IF(E6&lt;&gt;"","("&amp;E6&amp;") "," ") &amp; IF(F6="N","NOT NULL ","") &amp;" COMMENT "&amp;" '"&amp;C6&amp;"'"</f>
        <v xml:space="preserve">    ,PARTY_CD VARCHAR (20) NOT NULL  COMMENT  '소속코드'</v>
      </c>
    </row>
    <row r="7" spans="2:10" x14ac:dyDescent="0.4">
      <c r="B7" s="5" t="s">
        <v>59</v>
      </c>
      <c r="C7" s="2" t="s">
        <v>15</v>
      </c>
      <c r="D7" s="1" t="s">
        <v>13</v>
      </c>
      <c r="E7" s="1">
        <v>200</v>
      </c>
      <c r="F7" s="5" t="s">
        <v>37</v>
      </c>
      <c r="G7" s="5"/>
      <c r="H7" s="5"/>
      <c r="J7" t="str">
        <f t="shared" ref="J7:J19" si="1">"    ,"&amp;B7&amp;" "&amp;D7&amp;" " &amp; IF(E7&lt;&gt;"","("&amp;E7&amp;") "," ") &amp; IF(F7="N","NOT NULL ","") &amp;" COMMENT "&amp;" '"&amp;C7&amp;"'"</f>
        <v xml:space="preserve">    ,DOC_TITLE VARCHAR (200) NOT NULL  COMMENT  '제목'</v>
      </c>
    </row>
    <row r="8" spans="2:10" x14ac:dyDescent="0.4">
      <c r="B8" s="5" t="s">
        <v>66</v>
      </c>
      <c r="C8" s="1" t="s">
        <v>16</v>
      </c>
      <c r="D8" s="1" t="s">
        <v>17</v>
      </c>
      <c r="E8" s="1">
        <v>4000</v>
      </c>
      <c r="F8" s="5"/>
      <c r="G8" s="5"/>
      <c r="H8" s="5"/>
      <c r="J8" t="str">
        <f t="shared" si="1"/>
        <v xml:space="preserve">    ,DOC_INFO TEXT (4000)  COMMENT  '내용'</v>
      </c>
    </row>
    <row r="9" spans="2:10" x14ac:dyDescent="0.4">
      <c r="B9" s="5" t="s">
        <v>70</v>
      </c>
      <c r="C9" s="5" t="s">
        <v>122</v>
      </c>
      <c r="D9" s="5" t="s">
        <v>13</v>
      </c>
      <c r="E9" s="5">
        <v>1</v>
      </c>
      <c r="F9" s="1" t="s">
        <v>37</v>
      </c>
      <c r="G9" s="5"/>
      <c r="H9" s="5"/>
      <c r="J9" t="str">
        <f>"    ,"&amp;B9&amp;" "&amp;D9&amp;" " &amp; IF(E9&lt;&gt;"","("&amp;E9&amp;") "," ") &amp; IF(F9="N","NOT NULL DEFAULT 'N' ","") &amp;" COMMENT "&amp;" '"&amp;C9&amp;"'"</f>
        <v xml:space="preserve">    ,DOC_STAT VARCHAR (1) NOT NULL DEFAULT 'N'  COMMENT  '문서상태(N:등록, V:게시, C:게시취소)'</v>
      </c>
    </row>
    <row r="10" spans="2:10" x14ac:dyDescent="0.4">
      <c r="B10" s="5" t="s">
        <v>68</v>
      </c>
      <c r="C10" s="1" t="s">
        <v>18</v>
      </c>
      <c r="D10" s="1" t="s">
        <v>114</v>
      </c>
      <c r="E10" s="1"/>
      <c r="F10" s="5"/>
      <c r="G10" s="5"/>
      <c r="H10" s="5"/>
      <c r="J10" t="str">
        <f>"    ,"&amp;B10&amp;" "&amp;D10&amp;" " &amp; IF(E10&lt;&gt;"","("&amp;E10&amp;") "," ") &amp; IF(F10="N","NOT NULL ","") &amp;" DEFAULT 0 COMMENT "&amp;" '"&amp;C10&amp;"'"</f>
        <v xml:space="preserve">    ,DOC_READ INT   DEFAULT 0 COMMENT  '읽은 건수'</v>
      </c>
    </row>
    <row r="11" spans="2:10" x14ac:dyDescent="0.4">
      <c r="B11" s="1" t="s">
        <v>31</v>
      </c>
      <c r="C11" s="1" t="s">
        <v>23</v>
      </c>
      <c r="D11" s="1" t="s">
        <v>13</v>
      </c>
      <c r="E11" s="1">
        <v>20</v>
      </c>
      <c r="F11" s="5"/>
      <c r="G11" s="5"/>
      <c r="H11" s="5"/>
      <c r="J11" t="str">
        <f t="shared" si="1"/>
        <v xml:space="preserve">    ,AUDIT_ID VARCHAR (20)  COMMENT  '관리자 아이디'</v>
      </c>
    </row>
    <row r="12" spans="2:10" x14ac:dyDescent="0.4">
      <c r="B12" s="1" t="s">
        <v>9</v>
      </c>
      <c r="C12" s="1" t="s">
        <v>10</v>
      </c>
      <c r="D12" s="5" t="s">
        <v>97</v>
      </c>
      <c r="E12" s="5"/>
      <c r="F12" s="1" t="s">
        <v>37</v>
      </c>
      <c r="G12" s="1"/>
      <c r="H12" s="1"/>
      <c r="J12" t="str">
        <f>"    ,"&amp;B12&amp;" "&amp;D12&amp;" " &amp; IF(E12&lt;&gt;"","("&amp;E12&amp;") "," ") &amp; IF(F12="N","NOT NULL DEFAULT CURRENT_TIMESTAMP  ","") &amp;" COMMENT "&amp;" '"&amp;C12&amp;"'"</f>
        <v xml:space="preserve">    ,CRE_DTM DATETIME  NOT NULL DEFAULT CURRENT_TIMESTAMP   COMMENT  '생성일시'</v>
      </c>
    </row>
    <row r="13" spans="2:10" x14ac:dyDescent="0.4">
      <c r="B13" s="5" t="s">
        <v>72</v>
      </c>
      <c r="C13" s="5" t="s">
        <v>88</v>
      </c>
      <c r="D13" s="5" t="s">
        <v>13</v>
      </c>
      <c r="E13" s="5">
        <v>20</v>
      </c>
      <c r="F13" s="5"/>
      <c r="G13" s="5"/>
      <c r="H13" s="5"/>
      <c r="J13" t="str">
        <f t="shared" si="1"/>
        <v xml:space="preserve">    ,SHOW_ID VARCHAR (20)  COMMENT  '게시 아이디'</v>
      </c>
    </row>
    <row r="14" spans="2:10" x14ac:dyDescent="0.4">
      <c r="B14" s="5" t="s">
        <v>73</v>
      </c>
      <c r="C14" s="5" t="s">
        <v>89</v>
      </c>
      <c r="D14" s="5" t="s">
        <v>97</v>
      </c>
      <c r="E14" s="5"/>
      <c r="F14" s="5"/>
      <c r="G14" s="5"/>
      <c r="H14" s="5"/>
      <c r="J14" t="str">
        <f t="shared" si="1"/>
        <v xml:space="preserve">    ,SHOW_DTM DATETIME   COMMENT  '게시일시'</v>
      </c>
    </row>
    <row r="15" spans="2:10" x14ac:dyDescent="0.4">
      <c r="B15" s="5" t="s">
        <v>74</v>
      </c>
      <c r="C15" s="5" t="s">
        <v>90</v>
      </c>
      <c r="D15" s="5" t="s">
        <v>13</v>
      </c>
      <c r="E15" s="5">
        <v>20</v>
      </c>
      <c r="F15" s="5"/>
      <c r="G15" s="5"/>
      <c r="H15" s="5"/>
      <c r="J15" t="str">
        <f t="shared" si="1"/>
        <v xml:space="preserve">    ,CANCEL_ID VARCHAR (20)  COMMENT  '게시취소 아이디'</v>
      </c>
    </row>
    <row r="16" spans="2:10" x14ac:dyDescent="0.4">
      <c r="B16" s="5" t="s">
        <v>75</v>
      </c>
      <c r="C16" s="5" t="s">
        <v>91</v>
      </c>
      <c r="D16" s="5" t="s">
        <v>97</v>
      </c>
      <c r="E16" s="5"/>
      <c r="F16" s="5"/>
      <c r="G16" s="5"/>
      <c r="H16" s="5"/>
      <c r="J16" t="str">
        <f t="shared" si="1"/>
        <v xml:space="preserve">    ,CANCEL_DTM DATETIME   COMMENT  '게시취소일시'</v>
      </c>
    </row>
    <row r="17" spans="2:10" x14ac:dyDescent="0.4">
      <c r="B17" s="5" t="s">
        <v>76</v>
      </c>
      <c r="C17" s="5" t="s">
        <v>92</v>
      </c>
      <c r="D17" s="5" t="s">
        <v>13</v>
      </c>
      <c r="E17" s="5">
        <v>1</v>
      </c>
      <c r="F17" s="5"/>
      <c r="G17" s="5"/>
      <c r="H17" s="5"/>
      <c r="J17" t="str">
        <f t="shared" si="1"/>
        <v xml:space="preserve">    ,DEL_YN VARCHAR (1)  COMMENT  '삭제여부'</v>
      </c>
    </row>
    <row r="18" spans="2:10" x14ac:dyDescent="0.4">
      <c r="B18" s="5" t="s">
        <v>77</v>
      </c>
      <c r="C18" s="5" t="s">
        <v>93</v>
      </c>
      <c r="D18" s="5" t="s">
        <v>13</v>
      </c>
      <c r="E18" s="5">
        <v>20</v>
      </c>
      <c r="F18" s="5"/>
      <c r="G18" s="5"/>
      <c r="H18" s="5"/>
      <c r="J18" t="str">
        <f t="shared" si="1"/>
        <v xml:space="preserve">    ,DEL_ID VARCHAR (20)  COMMENT  '삭제 아이디'</v>
      </c>
    </row>
    <row r="19" spans="2:10" x14ac:dyDescent="0.4">
      <c r="B19" s="5" t="s">
        <v>78</v>
      </c>
      <c r="C19" s="5" t="s">
        <v>94</v>
      </c>
      <c r="D19" s="5" t="s">
        <v>97</v>
      </c>
      <c r="E19" s="5"/>
      <c r="F19" s="5"/>
      <c r="G19" s="5"/>
      <c r="H19" s="5"/>
      <c r="J19" t="str">
        <f t="shared" si="1"/>
        <v xml:space="preserve">    ,DEL_DTM DATETIME   COMMENT  '삭제일시'</v>
      </c>
    </row>
    <row r="20" spans="2:10" x14ac:dyDescent="0.4">
      <c r="J20" t="str">
        <f xml:space="preserve"> ")"</f>
        <v>)</v>
      </c>
    </row>
    <row r="21" spans="2:10" x14ac:dyDescent="0.4">
      <c r="J21" t="str">
        <f xml:space="preserve"> "COMMENT = '" &amp;C3&amp; "';  "</f>
        <v xml:space="preserve">COMMENT = '공지사항';  </v>
      </c>
    </row>
  </sheetData>
  <mergeCells count="1">
    <mergeCell ref="C3:H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4AAE-C188-4486-A9D2-786DCADE4AA7}">
  <dimension ref="B3:J20"/>
  <sheetViews>
    <sheetView workbookViewId="0">
      <selection activeCell="J3" sqref="J3:J20"/>
    </sheetView>
  </sheetViews>
  <sheetFormatPr defaultRowHeight="17.399999999999999" x14ac:dyDescent="0.4"/>
  <cols>
    <col min="2" max="2" width="27.09765625" bestFit="1" customWidth="1"/>
    <col min="3" max="3" width="34.296875" customWidth="1"/>
    <col min="4" max="4" width="13" bestFit="1" customWidth="1"/>
    <col min="6" max="6" width="10.19921875" bestFit="1" customWidth="1"/>
    <col min="10" max="10" width="48.69921875" bestFit="1" customWidth="1"/>
  </cols>
  <sheetData>
    <row r="3" spans="2:10" x14ac:dyDescent="0.4">
      <c r="B3" s="5" t="str">
        <f>'테이블 리스트'!B10</f>
        <v>CRBN_QNA</v>
      </c>
      <c r="C3" s="9" t="str">
        <f>'테이블 리스트'!C10</f>
        <v>일대일문의하기</v>
      </c>
      <c r="D3" s="10"/>
      <c r="E3" s="10"/>
      <c r="F3" s="10"/>
      <c r="G3" s="10"/>
      <c r="H3" s="10"/>
      <c r="J3" t="str">
        <f>"CREATE TABLE " &amp; B3</f>
        <v>CREATE TABLE CRBN_QNA</v>
      </c>
    </row>
    <row r="4" spans="2:10" x14ac:dyDescent="0.4">
      <c r="B4" s="5" t="s">
        <v>0</v>
      </c>
      <c r="C4" s="4" t="s">
        <v>1</v>
      </c>
      <c r="D4" s="5" t="s">
        <v>2</v>
      </c>
      <c r="E4" s="5" t="s">
        <v>3</v>
      </c>
      <c r="F4" s="5" t="s">
        <v>5</v>
      </c>
      <c r="G4" s="5" t="s">
        <v>4</v>
      </c>
      <c r="H4" s="5" t="s">
        <v>41</v>
      </c>
      <c r="J4" t="str">
        <f>"("</f>
        <v>(</v>
      </c>
    </row>
    <row r="5" spans="2:10" x14ac:dyDescent="0.4">
      <c r="B5" s="1" t="s">
        <v>118</v>
      </c>
      <c r="C5" s="1" t="s">
        <v>19</v>
      </c>
      <c r="D5" s="1" t="s">
        <v>114</v>
      </c>
      <c r="E5" s="1"/>
      <c r="F5" s="1" t="s">
        <v>37</v>
      </c>
      <c r="G5" s="5" t="s">
        <v>8</v>
      </c>
      <c r="H5" s="5"/>
      <c r="J5" t="str">
        <f>"     " &amp;B5 &amp; " " &amp; D5 &amp; IF(E5&lt;&gt;"","("&amp;E5&amp;") "," ") &amp; IF(F5="N","NOT NULL ","")&amp;" primary key auto_increment  COMMENT " &amp; " '" &amp; C5 &amp; "'"</f>
        <v xml:space="preserve">     DOC_SEQ INT NOT NULL  primary key auto_increment  COMMENT  '문서번호'</v>
      </c>
    </row>
    <row r="6" spans="2:10" x14ac:dyDescent="0.4">
      <c r="B6" s="1" t="s">
        <v>123</v>
      </c>
      <c r="C6" s="1" t="s">
        <v>115</v>
      </c>
      <c r="D6" s="1" t="s">
        <v>13</v>
      </c>
      <c r="E6" s="1">
        <v>20</v>
      </c>
      <c r="F6" s="1" t="s">
        <v>37</v>
      </c>
      <c r="G6" s="1"/>
      <c r="H6" s="1"/>
      <c r="J6" t="str">
        <f t="shared" ref="J6" si="0">"    ,"&amp;B6&amp;" "&amp;D6&amp;" " &amp; IF(E6&lt;&gt;"","("&amp;E6&amp;") "," ") &amp; IF(F6="N","NOT NULL ","") &amp;" COMMENT "&amp;" '"&amp;C6&amp;"'"</f>
        <v xml:space="preserve">    ,PARTY_CD VARCHAR (20) NOT NULL  COMMENT  '소속코드'</v>
      </c>
    </row>
    <row r="7" spans="2:10" x14ac:dyDescent="0.4">
      <c r="B7" s="1" t="s">
        <v>24</v>
      </c>
      <c r="C7" s="2" t="s">
        <v>7</v>
      </c>
      <c r="D7" s="1" t="s">
        <v>13</v>
      </c>
      <c r="E7" s="1">
        <v>20</v>
      </c>
      <c r="F7" s="1"/>
      <c r="G7" s="5"/>
      <c r="H7" s="5"/>
      <c r="J7" t="str">
        <f t="shared" ref="J7:J18" si="1">"    ,"&amp;B7&amp;" "&amp;D7&amp;" " &amp; IF(E7&lt;&gt;"","("&amp;E7&amp;") "," ") &amp; IF(F7="N","NOT NULL ","") &amp;" COMMENT "&amp;" '"&amp;C7&amp;"'"</f>
        <v xml:space="preserve">    ,MBR_ID VARCHAR (20)  COMMENT  '회원 아이디'</v>
      </c>
    </row>
    <row r="8" spans="2:10" x14ac:dyDescent="0.4">
      <c r="B8" s="1" t="s">
        <v>21</v>
      </c>
      <c r="C8" s="2" t="s">
        <v>20</v>
      </c>
      <c r="D8" s="1" t="s">
        <v>13</v>
      </c>
      <c r="E8" s="1">
        <v>100</v>
      </c>
      <c r="F8" s="1"/>
      <c r="G8" s="5"/>
      <c r="H8" s="5"/>
      <c r="J8" t="str">
        <f t="shared" si="1"/>
        <v xml:space="preserve">    ,QNA_PWD VARCHAR (100)  COMMENT  '비밀번호'</v>
      </c>
    </row>
    <row r="9" spans="2:10" x14ac:dyDescent="0.4">
      <c r="B9" s="1" t="s">
        <v>36</v>
      </c>
      <c r="C9" s="2" t="s">
        <v>35</v>
      </c>
      <c r="D9" s="1" t="s">
        <v>13</v>
      </c>
      <c r="E9" s="1">
        <v>20</v>
      </c>
      <c r="F9" s="1"/>
      <c r="G9" s="1"/>
      <c r="H9" s="1"/>
      <c r="J9" t="str">
        <f t="shared" si="1"/>
        <v xml:space="preserve">    ,QNA_SORT VARCHAR (20)  COMMENT  '중분류'</v>
      </c>
    </row>
    <row r="10" spans="2:10" x14ac:dyDescent="0.4">
      <c r="B10" s="1" t="s">
        <v>32</v>
      </c>
      <c r="C10" s="2" t="s">
        <v>15</v>
      </c>
      <c r="D10" s="1" t="s">
        <v>13</v>
      </c>
      <c r="E10" s="1">
        <v>200</v>
      </c>
      <c r="F10" s="1"/>
      <c r="G10" s="1"/>
      <c r="H10" s="1"/>
      <c r="J10" t="str">
        <f t="shared" si="1"/>
        <v xml:space="preserve">    ,QNA_TITLE VARCHAR (200)  COMMENT  '제목'</v>
      </c>
    </row>
    <row r="11" spans="2:10" x14ac:dyDescent="0.4">
      <c r="B11" s="1" t="s">
        <v>33</v>
      </c>
      <c r="C11" s="1" t="s">
        <v>16</v>
      </c>
      <c r="D11" s="1" t="s">
        <v>17</v>
      </c>
      <c r="E11" s="1">
        <v>4000</v>
      </c>
      <c r="F11" s="1"/>
      <c r="G11" s="1"/>
      <c r="H11" s="1"/>
      <c r="J11" t="str">
        <f t="shared" si="1"/>
        <v xml:space="preserve">    ,QNA_CONTENT TEXT (4000)  COMMENT  '내용'</v>
      </c>
    </row>
    <row r="12" spans="2:10" x14ac:dyDescent="0.4">
      <c r="B12" s="1" t="s">
        <v>22</v>
      </c>
      <c r="C12" s="2" t="s">
        <v>34</v>
      </c>
      <c r="D12" s="1" t="s">
        <v>13</v>
      </c>
      <c r="E12" s="1">
        <v>1</v>
      </c>
      <c r="F12" s="1" t="s">
        <v>37</v>
      </c>
      <c r="G12" s="1"/>
      <c r="H12" s="1"/>
      <c r="J12" t="str">
        <f t="shared" si="1"/>
        <v xml:space="preserve">    ,QNA_IND VARCHAR (1) NOT NULL  COMMENT  '공개/비공개 여부(1:공개, 2:비공개)'</v>
      </c>
    </row>
    <row r="13" spans="2:10" x14ac:dyDescent="0.4">
      <c r="B13" s="5" t="s">
        <v>68</v>
      </c>
      <c r="C13" s="1" t="s">
        <v>18</v>
      </c>
      <c r="D13" s="5" t="s">
        <v>95</v>
      </c>
      <c r="E13" s="5"/>
      <c r="F13" s="1"/>
      <c r="G13" s="1"/>
      <c r="H13" s="1"/>
      <c r="J13" t="str">
        <f>"    ,"&amp;B13&amp;" "&amp;D13&amp;" " &amp; IF(E13&lt;&gt;"","("&amp;E13&amp;") "," ") &amp; IF(F13="N","NOT NULL ","") &amp;" DEFAULT 0 COMMENT "&amp;" '"&amp;C13&amp;"'"</f>
        <v xml:space="preserve">    ,DOC_READ INT   DEFAULT 0 COMMENT  '읽은 건수'</v>
      </c>
    </row>
    <row r="14" spans="2:10" x14ac:dyDescent="0.4">
      <c r="B14" s="1" t="s">
        <v>9</v>
      </c>
      <c r="C14" s="1" t="s">
        <v>10</v>
      </c>
      <c r="D14" s="5" t="s">
        <v>97</v>
      </c>
      <c r="E14" s="5"/>
      <c r="F14" s="1" t="s">
        <v>37</v>
      </c>
      <c r="G14" s="1"/>
      <c r="H14" s="1"/>
      <c r="J14" t="str">
        <f>"    ,"&amp;B14&amp;" "&amp;D14&amp;" " &amp; IF(E14&lt;&gt;"","("&amp;E14&amp;") "," ") &amp; IF(F14="N","NOT NULL DEFAULT CURRENT_TIMESTAMP  ","") &amp;" COMMENT "&amp;" '"&amp;C14&amp;"'"</f>
        <v xml:space="preserve">    ,CRE_DTM DATETIME  NOT NULL DEFAULT CURRENT_TIMESTAMP   COMMENT  '생성일시'</v>
      </c>
    </row>
    <row r="15" spans="2:10" x14ac:dyDescent="0.4">
      <c r="B15" s="1" t="s">
        <v>11</v>
      </c>
      <c r="C15" s="1" t="s">
        <v>12</v>
      </c>
      <c r="D15" s="5" t="s">
        <v>97</v>
      </c>
      <c r="E15" s="5"/>
      <c r="F15" s="1"/>
      <c r="G15" s="1"/>
      <c r="H15" s="1"/>
      <c r="J15" t="str">
        <f t="shared" si="1"/>
        <v xml:space="preserve">    ,CHG_DTM DATETIME   COMMENT  '변경일시'</v>
      </c>
    </row>
    <row r="16" spans="2:10" x14ac:dyDescent="0.4">
      <c r="B16" s="1" t="s">
        <v>31</v>
      </c>
      <c r="C16" s="2" t="s">
        <v>23</v>
      </c>
      <c r="D16" s="1" t="s">
        <v>13</v>
      </c>
      <c r="E16" s="1">
        <v>20</v>
      </c>
      <c r="F16" s="1"/>
      <c r="G16" s="1"/>
      <c r="H16" s="1"/>
      <c r="J16" t="str">
        <f t="shared" si="1"/>
        <v xml:space="preserve">    ,AUDIT_ID VARCHAR (20)  COMMENT  '관리자 아이디'</v>
      </c>
    </row>
    <row r="17" spans="2:10" x14ac:dyDescent="0.4">
      <c r="B17" s="1" t="s">
        <v>28</v>
      </c>
      <c r="C17" s="1" t="s">
        <v>27</v>
      </c>
      <c r="D17" s="1" t="s">
        <v>17</v>
      </c>
      <c r="E17" s="1">
        <v>4000</v>
      </c>
      <c r="F17" s="1"/>
      <c r="G17" s="1"/>
      <c r="H17" s="1"/>
      <c r="J17" t="str">
        <f t="shared" si="1"/>
        <v xml:space="preserve">    ,ANS_CONTENT TEXT (4000)  COMMENT  '답변'</v>
      </c>
    </row>
    <row r="18" spans="2:10" x14ac:dyDescent="0.4">
      <c r="B18" s="1" t="s">
        <v>29</v>
      </c>
      <c r="C18" s="1" t="s">
        <v>30</v>
      </c>
      <c r="D18" s="5" t="s">
        <v>97</v>
      </c>
      <c r="E18" s="5"/>
      <c r="F18" s="1"/>
      <c r="G18" s="1"/>
      <c r="H18" s="1"/>
      <c r="J18" t="str">
        <f t="shared" si="1"/>
        <v xml:space="preserve">    ,ANS_DTM DATETIME   COMMENT  '답변일시'</v>
      </c>
    </row>
    <row r="19" spans="2:10" x14ac:dyDescent="0.4">
      <c r="J19" t="str">
        <f xml:space="preserve"> ")"</f>
        <v>)</v>
      </c>
    </row>
    <row r="20" spans="2:10" x14ac:dyDescent="0.4">
      <c r="J20" t="str">
        <f xml:space="preserve"> "COMMENT = '" &amp;C3&amp; "';  "</f>
        <v xml:space="preserve">COMMENT = '일대일문의하기';  </v>
      </c>
    </row>
  </sheetData>
  <mergeCells count="1">
    <mergeCell ref="C3:H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3721-CF16-44FC-9368-89F38C901D30}">
  <dimension ref="B3:J22"/>
  <sheetViews>
    <sheetView tabSelected="1" workbookViewId="0">
      <selection activeCell="J3" sqref="J3:J22"/>
    </sheetView>
  </sheetViews>
  <sheetFormatPr defaultRowHeight="17.399999999999999" x14ac:dyDescent="0.4"/>
  <cols>
    <col min="2" max="2" width="27.09765625" bestFit="1" customWidth="1"/>
    <col min="3" max="3" width="34.296875" customWidth="1"/>
    <col min="4" max="4" width="13" bestFit="1" customWidth="1"/>
    <col min="6" max="6" width="10.19921875" bestFit="1" customWidth="1"/>
    <col min="10" max="10" width="48.69921875" bestFit="1" customWidth="1"/>
  </cols>
  <sheetData>
    <row r="3" spans="2:10" x14ac:dyDescent="0.4">
      <c r="B3" s="5" t="str">
        <f>'테이블 리스트'!B11</f>
        <v>CRBN_FAQ</v>
      </c>
      <c r="C3" s="9" t="str">
        <f>'테이블 리스트'!C11</f>
        <v>자주묻는 질문</v>
      </c>
      <c r="D3" s="10"/>
      <c r="E3" s="10"/>
      <c r="F3" s="10"/>
      <c r="G3" s="10"/>
      <c r="H3" s="10"/>
      <c r="J3" t="str">
        <f>"CREATE TABLE " &amp; B3</f>
        <v>CREATE TABLE CRBN_FAQ</v>
      </c>
    </row>
    <row r="4" spans="2:10" x14ac:dyDescent="0.4">
      <c r="B4" s="5" t="s">
        <v>0</v>
      </c>
      <c r="C4" s="4" t="s">
        <v>1</v>
      </c>
      <c r="D4" s="5" t="s">
        <v>2</v>
      </c>
      <c r="E4" s="5" t="s">
        <v>3</v>
      </c>
      <c r="F4" s="5" t="s">
        <v>5</v>
      </c>
      <c r="G4" s="5" t="s">
        <v>4</v>
      </c>
      <c r="H4" s="5" t="s">
        <v>41</v>
      </c>
      <c r="J4" t="str">
        <f>"("</f>
        <v>(</v>
      </c>
    </row>
    <row r="5" spans="2:10" x14ac:dyDescent="0.4">
      <c r="B5" s="1" t="s">
        <v>118</v>
      </c>
      <c r="C5" s="1" t="s">
        <v>19</v>
      </c>
      <c r="D5" s="1" t="s">
        <v>114</v>
      </c>
      <c r="E5" s="1"/>
      <c r="F5" s="1" t="s">
        <v>37</v>
      </c>
      <c r="G5" s="5" t="s">
        <v>8</v>
      </c>
      <c r="H5" s="5"/>
      <c r="J5" t="str">
        <f>"     " &amp;B5 &amp; " " &amp; D5 &amp; IF(E5&lt;&gt;"","("&amp;E5&amp;") "," ") &amp; IF(F5="N","NOT NULL ","")&amp;" primary key auto_increment  COMMENT " &amp; " '" &amp; C5 &amp; "'"</f>
        <v xml:space="preserve">     DOC_SEQ INT NOT NULL  primary key auto_increment  COMMENT  '문서번호'</v>
      </c>
    </row>
    <row r="6" spans="2:10" x14ac:dyDescent="0.4">
      <c r="B6" s="1" t="s">
        <v>123</v>
      </c>
      <c r="C6" s="1" t="s">
        <v>115</v>
      </c>
      <c r="D6" s="1" t="s">
        <v>13</v>
      </c>
      <c r="E6" s="1">
        <v>20</v>
      </c>
      <c r="F6" s="1" t="s">
        <v>37</v>
      </c>
      <c r="G6" s="1"/>
      <c r="H6" s="1"/>
      <c r="J6" t="str">
        <f t="shared" ref="J6:J20" si="0">"    ,"&amp;B6&amp;" "&amp;D6&amp;" " &amp; IF(E6&lt;&gt;"","("&amp;E6&amp;") "," ") &amp; IF(F6="N","NOT NULL ","") &amp;" COMMENT "&amp;" '"&amp;C6&amp;"'"</f>
        <v xml:space="preserve">    ,PARTY_CD VARCHAR (20) NOT NULL  COMMENT  '소속코드'</v>
      </c>
    </row>
    <row r="7" spans="2:10" x14ac:dyDescent="0.4">
      <c r="B7" s="1" t="s">
        <v>36</v>
      </c>
      <c r="C7" s="2" t="s">
        <v>35</v>
      </c>
      <c r="D7" s="1" t="s">
        <v>13</v>
      </c>
      <c r="E7" s="1">
        <v>20</v>
      </c>
      <c r="F7" s="1"/>
      <c r="G7" s="1"/>
      <c r="H7" s="1"/>
      <c r="J7" t="str">
        <f t="shared" si="0"/>
        <v xml:space="preserve">    ,QNA_SORT VARCHAR (20)  COMMENT  '중분류'</v>
      </c>
    </row>
    <row r="8" spans="2:10" x14ac:dyDescent="0.4">
      <c r="B8" s="1" t="s">
        <v>120</v>
      </c>
      <c r="C8" s="1" t="s">
        <v>119</v>
      </c>
      <c r="D8" s="1" t="s">
        <v>17</v>
      </c>
      <c r="E8" s="1">
        <v>1000</v>
      </c>
      <c r="F8" s="1"/>
      <c r="G8" s="1"/>
      <c r="H8" s="1"/>
      <c r="J8" t="str">
        <f t="shared" si="0"/>
        <v xml:space="preserve">    ,QN_CONTENT TEXT (1000)  COMMENT  '질문'</v>
      </c>
    </row>
    <row r="9" spans="2:10" x14ac:dyDescent="0.4">
      <c r="B9" s="5" t="s">
        <v>68</v>
      </c>
      <c r="C9" s="1" t="s">
        <v>18</v>
      </c>
      <c r="D9" s="5" t="s">
        <v>95</v>
      </c>
      <c r="E9" s="5"/>
      <c r="F9" s="1"/>
      <c r="G9" s="1"/>
      <c r="H9" s="1"/>
      <c r="J9" t="str">
        <f>"    ,"&amp;B9&amp;" "&amp;D9&amp;" " &amp; IF(E9&lt;&gt;"","("&amp;E9&amp;") "," ") &amp; IF(F9="N","NOT NULL ","") &amp;" DEFAULT 0 COMMENT "&amp;" '"&amp;C9&amp;"'"</f>
        <v xml:space="preserve">    ,DOC_READ INT   DEFAULT 0 COMMENT  '읽은 건수'</v>
      </c>
    </row>
    <row r="10" spans="2:10" x14ac:dyDescent="0.4">
      <c r="B10" s="1" t="s">
        <v>121</v>
      </c>
      <c r="C10" s="1" t="s">
        <v>27</v>
      </c>
      <c r="D10" s="1" t="s">
        <v>17</v>
      </c>
      <c r="E10" s="1">
        <v>4000</v>
      </c>
      <c r="F10" s="1"/>
      <c r="G10" s="1"/>
      <c r="H10" s="1"/>
      <c r="J10" t="str">
        <f t="shared" si="0"/>
        <v xml:space="preserve">    ,QA_CONTENT TEXT (4000)  COMMENT  '답변'</v>
      </c>
    </row>
    <row r="11" spans="2:10" x14ac:dyDescent="0.4">
      <c r="B11" s="5" t="s">
        <v>70</v>
      </c>
      <c r="C11" s="5" t="s">
        <v>122</v>
      </c>
      <c r="D11" s="5" t="s">
        <v>13</v>
      </c>
      <c r="E11" s="5">
        <v>1</v>
      </c>
      <c r="F11" s="1" t="s">
        <v>37</v>
      </c>
      <c r="G11" s="5"/>
      <c r="H11" s="5"/>
      <c r="J11" t="str">
        <f>"    ,"&amp;B11&amp;" "&amp;D11&amp;" " &amp; IF(E11&lt;&gt;"","("&amp;E11&amp;") "," ") &amp; IF(F11="N","NOT NULL DEFAULT 'N' ","") &amp;" COMMENT "&amp;" '"&amp;C11&amp;"'"</f>
        <v xml:space="preserve">    ,DOC_STAT VARCHAR (1) NOT NULL DEFAULT 'N'  COMMENT  '문서상태(N:등록, V:게시, C:게시취소)'</v>
      </c>
    </row>
    <row r="12" spans="2:10" x14ac:dyDescent="0.4">
      <c r="B12" s="1" t="s">
        <v>31</v>
      </c>
      <c r="C12" s="1" t="s">
        <v>23</v>
      </c>
      <c r="D12" s="1" t="s">
        <v>13</v>
      </c>
      <c r="E12" s="1">
        <v>20</v>
      </c>
      <c r="F12" s="5"/>
      <c r="G12" s="5"/>
      <c r="H12" s="5"/>
      <c r="J12" t="str">
        <f t="shared" si="0"/>
        <v xml:space="preserve">    ,AUDIT_ID VARCHAR (20)  COMMENT  '관리자 아이디'</v>
      </c>
    </row>
    <row r="13" spans="2:10" x14ac:dyDescent="0.4">
      <c r="B13" s="1" t="s">
        <v>9</v>
      </c>
      <c r="C13" s="1" t="s">
        <v>10</v>
      </c>
      <c r="D13" s="5" t="s">
        <v>97</v>
      </c>
      <c r="E13" s="5"/>
      <c r="F13" s="1" t="s">
        <v>37</v>
      </c>
      <c r="G13" s="1"/>
      <c r="H13" s="1"/>
      <c r="J13" t="str">
        <f>"    ,"&amp;B13&amp;" "&amp;D13&amp;" " &amp; IF(E13&lt;&gt;"","("&amp;E13&amp;") "," ") &amp; IF(F13="N","NOT NULL DEFAULT CURRENT_TIMESTAMP  ","") &amp;" COMMENT "&amp;" '"&amp;C13&amp;"'"</f>
        <v xml:space="preserve">    ,CRE_DTM DATETIME  NOT NULL DEFAULT CURRENT_TIMESTAMP   COMMENT  '생성일시'</v>
      </c>
    </row>
    <row r="14" spans="2:10" x14ac:dyDescent="0.4">
      <c r="B14" s="5" t="s">
        <v>72</v>
      </c>
      <c r="C14" s="5" t="s">
        <v>88</v>
      </c>
      <c r="D14" s="5" t="s">
        <v>13</v>
      </c>
      <c r="E14" s="5">
        <v>20</v>
      </c>
      <c r="F14" s="5"/>
      <c r="G14" s="5"/>
      <c r="H14" s="5"/>
      <c r="J14" t="str">
        <f t="shared" si="0"/>
        <v xml:space="preserve">    ,SHOW_ID VARCHAR (20)  COMMENT  '게시 아이디'</v>
      </c>
    </row>
    <row r="15" spans="2:10" x14ac:dyDescent="0.4">
      <c r="B15" s="5" t="s">
        <v>73</v>
      </c>
      <c r="C15" s="5" t="s">
        <v>89</v>
      </c>
      <c r="D15" s="5" t="s">
        <v>97</v>
      </c>
      <c r="E15" s="5"/>
      <c r="F15" s="5"/>
      <c r="G15" s="5"/>
      <c r="H15" s="5"/>
      <c r="J15" t="str">
        <f t="shared" si="0"/>
        <v xml:space="preserve">    ,SHOW_DTM DATETIME   COMMENT  '게시일시'</v>
      </c>
    </row>
    <row r="16" spans="2:10" x14ac:dyDescent="0.4">
      <c r="B16" s="5" t="s">
        <v>74</v>
      </c>
      <c r="C16" s="5" t="s">
        <v>90</v>
      </c>
      <c r="D16" s="5" t="s">
        <v>13</v>
      </c>
      <c r="E16" s="5">
        <v>20</v>
      </c>
      <c r="F16" s="5"/>
      <c r="G16" s="5"/>
      <c r="H16" s="5"/>
      <c r="J16" t="str">
        <f t="shared" si="0"/>
        <v xml:space="preserve">    ,CANCEL_ID VARCHAR (20)  COMMENT  '게시취소 아이디'</v>
      </c>
    </row>
    <row r="17" spans="2:10" x14ac:dyDescent="0.4">
      <c r="B17" s="5" t="s">
        <v>75</v>
      </c>
      <c r="C17" s="5" t="s">
        <v>91</v>
      </c>
      <c r="D17" s="5" t="s">
        <v>97</v>
      </c>
      <c r="E17" s="5"/>
      <c r="F17" s="5"/>
      <c r="G17" s="5"/>
      <c r="H17" s="5"/>
      <c r="J17" t="str">
        <f t="shared" si="0"/>
        <v xml:space="preserve">    ,CANCEL_DTM DATETIME   COMMENT  '게시취소일시'</v>
      </c>
    </row>
    <row r="18" spans="2:10" x14ac:dyDescent="0.4">
      <c r="B18" s="5" t="s">
        <v>76</v>
      </c>
      <c r="C18" s="5" t="s">
        <v>92</v>
      </c>
      <c r="D18" s="5" t="s">
        <v>13</v>
      </c>
      <c r="E18" s="5">
        <v>1</v>
      </c>
      <c r="F18" s="5"/>
      <c r="G18" s="5"/>
      <c r="H18" s="5"/>
      <c r="J18" t="str">
        <f t="shared" si="0"/>
        <v xml:space="preserve">    ,DEL_YN VARCHAR (1)  COMMENT  '삭제여부'</v>
      </c>
    </row>
    <row r="19" spans="2:10" x14ac:dyDescent="0.4">
      <c r="B19" s="5" t="s">
        <v>77</v>
      </c>
      <c r="C19" s="5" t="s">
        <v>93</v>
      </c>
      <c r="D19" s="5" t="s">
        <v>13</v>
      </c>
      <c r="E19" s="5">
        <v>20</v>
      </c>
      <c r="F19" s="5"/>
      <c r="G19" s="5"/>
      <c r="H19" s="5"/>
      <c r="J19" t="str">
        <f t="shared" si="0"/>
        <v xml:space="preserve">    ,DEL_ID VARCHAR (20)  COMMENT  '삭제 아이디'</v>
      </c>
    </row>
    <row r="20" spans="2:10" x14ac:dyDescent="0.4">
      <c r="B20" s="5" t="s">
        <v>78</v>
      </c>
      <c r="C20" s="5" t="s">
        <v>94</v>
      </c>
      <c r="D20" s="5" t="s">
        <v>97</v>
      </c>
      <c r="E20" s="5"/>
      <c r="F20" s="5"/>
      <c r="G20" s="5"/>
      <c r="H20" s="5"/>
      <c r="J20" t="str">
        <f t="shared" si="0"/>
        <v xml:space="preserve">    ,DEL_DTM DATETIME   COMMENT  '삭제일시'</v>
      </c>
    </row>
    <row r="21" spans="2:10" x14ac:dyDescent="0.4">
      <c r="J21" t="str">
        <f xml:space="preserve"> ")"</f>
        <v>)</v>
      </c>
    </row>
    <row r="22" spans="2:10" x14ac:dyDescent="0.4">
      <c r="J22" t="str">
        <f xml:space="preserve"> "COMMENT = '" &amp;C3&amp; "';  "</f>
        <v xml:space="preserve">COMMENT = '자주묻는 질문';  </v>
      </c>
    </row>
  </sheetData>
  <mergeCells count="1">
    <mergeCell ref="C3:H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테이블 리스트</vt:lpstr>
      <vt:lpstr>이슈</vt:lpstr>
      <vt:lpstr>환경뉴스</vt:lpstr>
      <vt:lpstr>기관 핫뉴스</vt:lpstr>
      <vt:lpstr>이벤트</vt:lpstr>
      <vt:lpstr>이벤트 참여이력</vt:lpstr>
      <vt:lpstr>당첨자</vt:lpstr>
      <vt:lpstr>공지사항</vt:lpstr>
      <vt:lpstr>일대일문의하기</vt:lpstr>
      <vt:lpstr>자주묻는 질문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Cheolwon Jeong</dc:creator>
  <cp:lastModifiedBy>Cheolwon Jeong</cp:lastModifiedBy>
  <dcterms:created xsi:type="dcterms:W3CDTF">2019-09-25T12:50:02Z</dcterms:created>
  <dcterms:modified xsi:type="dcterms:W3CDTF">2025-05-14T16:12:10Z</dcterms:modified>
</cp:coreProperties>
</file>